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6A8609C-9546-4D62-8C8C-373BCF34B9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U98" i="1" l="1"/>
  <c r="DU100" i="1"/>
  <c r="IE68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IE69" i="1"/>
  <c r="IE70" i="1" s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E19" i="1"/>
  <c r="I26" i="1"/>
  <c r="J33" i="1" l="1"/>
  <c r="L33" i="1" s="1"/>
  <c r="K26" i="1"/>
  <c r="M26" i="1" s="1"/>
  <c r="O26" i="1" s="1"/>
  <c r="Q26" i="1" s="1"/>
  <c r="S31" i="1" l="1"/>
  <c r="U31" i="1" s="1"/>
  <c r="W31" i="1" s="1"/>
  <c r="Y31" i="1" s="1"/>
  <c r="AA36" i="1" s="1"/>
  <c r="AC36" i="1" s="1"/>
  <c r="S26" i="1"/>
  <c r="U26" i="1" s="1"/>
  <c r="AA31" i="1" s="1"/>
  <c r="AC31" i="1" s="1"/>
  <c r="S21" i="1"/>
  <c r="U21" i="1" s="1"/>
  <c r="AE39" i="1"/>
  <c r="AG39" i="1" s="1"/>
  <c r="AE33" i="1"/>
  <c r="AG33" i="1" s="1"/>
  <c r="AJ35" i="1" l="1"/>
  <c r="AL35" i="1" s="1"/>
  <c r="AN35" i="1" s="1"/>
  <c r="AP35" i="1" s="1"/>
  <c r="AP37" i="1" s="1"/>
  <c r="H18" i="1" l="1"/>
  <c r="U23" i="1"/>
  <c r="AG41" i="1"/>
  <c r="AN37" i="1"/>
  <c r="AL37" i="1" s="1"/>
  <c r="H17" i="1" l="1"/>
  <c r="AJ37" i="1"/>
  <c r="H16" i="1"/>
  <c r="AE41" i="1"/>
  <c r="H8" i="1"/>
  <c r="S23" i="1"/>
  <c r="L35" i="1" l="1"/>
  <c r="AG35" i="1"/>
  <c r="H15" i="1" l="1"/>
  <c r="AE35" i="1"/>
  <c r="H13" i="1"/>
  <c r="J35" i="1"/>
  <c r="AC38" i="1" l="1"/>
  <c r="AC33" i="1"/>
  <c r="H12" i="1" l="1"/>
  <c r="AA33" i="1"/>
  <c r="U28" i="1" s="1"/>
  <c r="H14" i="1"/>
  <c r="AA38" i="1"/>
  <c r="Y33" i="1" s="1"/>
  <c r="H11" i="1" l="1"/>
  <c r="W33" i="1"/>
  <c r="U33" i="1" s="1"/>
  <c r="H9" i="1"/>
  <c r="S28" i="1"/>
  <c r="H10" i="1" l="1"/>
  <c r="S33" i="1"/>
  <c r="Q28" i="1" s="1"/>
  <c r="H7" i="1" l="1"/>
  <c r="O28" i="1"/>
  <c r="M28" i="1" s="1"/>
  <c r="H6" i="1" l="1"/>
  <c r="K28" i="1"/>
  <c r="I28" i="1" s="1"/>
  <c r="H5" i="1" l="1"/>
  <c r="G28" i="1"/>
</calcChain>
</file>

<file path=xl/sharedStrings.xml><?xml version="1.0" encoding="utf-8"?>
<sst xmlns="http://schemas.openxmlformats.org/spreadsheetml/2006/main" count="544" uniqueCount="296">
  <si>
    <t>LETTERA</t>
  </si>
  <si>
    <t>Codice</t>
  </si>
  <si>
    <t>Attività</t>
  </si>
  <si>
    <t>Durata (gg)</t>
  </si>
  <si>
    <t>Precedenze</t>
  </si>
  <si>
    <t>N. Risorse</t>
  </si>
  <si>
    <t>TF</t>
  </si>
  <si>
    <t>FF</t>
  </si>
  <si>
    <t>COSTO RIS</t>
  </si>
  <si>
    <t>A</t>
  </si>
  <si>
    <t>1.1.1</t>
  </si>
  <si>
    <t>Mission, Storia e Logo</t>
  </si>
  <si>
    <t>—</t>
  </si>
  <si>
    <t>300 euro/gg</t>
  </si>
  <si>
    <t>B</t>
  </si>
  <si>
    <t>1.1.2</t>
  </si>
  <si>
    <t>Analisi PERT/CPM e Organigramma</t>
  </si>
  <si>
    <t>C</t>
  </si>
  <si>
    <t>1.2.1</t>
  </si>
  <si>
    <t>Contratti Consorzi Recupero Rifiuti</t>
  </si>
  <si>
    <t>D</t>
  </si>
  <si>
    <t>1.2.2</t>
  </si>
  <si>
    <t>Setup Sito Industriale e Leasing</t>
  </si>
  <si>
    <t>E</t>
  </si>
  <si>
    <t>1.2.3</t>
  </si>
  <si>
    <t>Sistema Tracciabilità Filiera</t>
  </si>
  <si>
    <t>F</t>
  </si>
  <si>
    <t>2.1.1</t>
  </si>
  <si>
    <t>R&amp;D Filato Alta Resistenza</t>
  </si>
  <si>
    <t>G</t>
  </si>
  <si>
    <t>2.1.2</t>
  </si>
  <si>
    <t>Design e Prototipazione Calzatura</t>
  </si>
  <si>
    <t>H</t>
  </si>
  <si>
    <t>2.2.1</t>
  </si>
  <si>
    <t>Certificazione Prodotto Ecologico</t>
  </si>
  <si>
    <t>E, G</t>
  </si>
  <si>
    <t>I</t>
  </si>
  <si>
    <t>3.1.1</t>
  </si>
  <si>
    <t>Strategia e Contenuti Multimediali</t>
  </si>
  <si>
    <t>J</t>
  </si>
  <si>
    <t>3.2.1</t>
  </si>
  <si>
    <t>Packaging Biodegradabile</t>
  </si>
  <si>
    <t>K</t>
  </si>
  <si>
    <t>3.2.2</t>
  </si>
  <si>
    <t>Calcolo Prezzo e Margini</t>
  </si>
  <si>
    <t>H, J</t>
  </si>
  <si>
    <t>L</t>
  </si>
  <si>
    <t>4.1.1</t>
  </si>
  <si>
    <t>Logistica e Spedizione Compensata</t>
  </si>
  <si>
    <t>M</t>
  </si>
  <si>
    <t>4.2.1</t>
  </si>
  <si>
    <t>E-commerce (Amazon/eBay)</t>
  </si>
  <si>
    <t>I, K</t>
  </si>
  <si>
    <t>N</t>
  </si>
  <si>
    <t>4.2.2</t>
  </si>
  <si>
    <t>Presentazione Finale di Gruppo</t>
  </si>
  <si>
    <t>DTE</t>
  </si>
  <si>
    <t>D,31</t>
  </si>
  <si>
    <t>A,10</t>
  </si>
  <si>
    <t>B,10</t>
  </si>
  <si>
    <t>C,25</t>
  </si>
  <si>
    <t>E.15</t>
  </si>
  <si>
    <t>F.46</t>
  </si>
  <si>
    <t>G,46</t>
  </si>
  <si>
    <t>H,31</t>
  </si>
  <si>
    <t>I,123</t>
  </si>
  <si>
    <t>K,15</t>
  </si>
  <si>
    <t>M,15</t>
  </si>
  <si>
    <t>N,6</t>
  </si>
  <si>
    <t>J,46</t>
  </si>
  <si>
    <t>L.32</t>
  </si>
  <si>
    <t>1 PROG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</si>
  <si>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</si>
  <si>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</si>
  <si>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</si>
  <si>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</si>
  <si>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</si>
  <si>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</si>
  <si>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</si>
  <si>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</si>
  <si>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</si>
  <si>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</si>
  <si>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</si>
  <si>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</si>
  <si>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</si>
  <si>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</si>
  <si>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</si>
  <si>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</si>
  <si>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</si>
  <si>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</si>
  <si>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</si>
  <si>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</si>
  <si>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</si>
  <si>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</si>
  <si>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</si>
  <si>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</si>
  <si>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</si>
  <si>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</si>
  <si>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</si>
  <si>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</si>
  <si>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</si>
  <si>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</si>
  <si>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</si>
  <si>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</si>
  <si>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</si>
  <si>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</si>
  <si>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</si>
  <si>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</si>
  <si>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</si>
  <si>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</si>
  <si>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</si>
  <si>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</si>
  <si>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</si>
  <si>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</si>
  <si>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</si>
  <si>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</si>
  <si>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</si>
  <si>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</si>
  <si>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</si>
  <si>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</si>
  <si>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</si>
  <si>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</si>
  <si>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</si>
  <si>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</si>
  <si>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</si>
  <si>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</si>
  <si>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</si>
  <si>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</si>
  <si>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</si>
  <si>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</si>
  <si>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</si>
  <si>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</si>
  <si>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</si>
  <si>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</si>
  <si>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</si>
  <si>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</si>
  <si>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</si>
  <si>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</si>
  <si>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</si>
  <si>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</si>
  <si>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</si>
  <si>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</si>
  <si>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</si>
  <si>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</si>
  <si>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</si>
  <si>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</si>
  <si>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</si>
  <si>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</si>
  <si>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</si>
  <si>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</si>
  <si>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</si>
  <si>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</si>
  <si>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</si>
  <si>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</si>
  <si>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</si>
  <si>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</si>
  <si>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</si>
  <si>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</si>
  <si>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</si>
  <si>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</si>
  <si>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</si>
  <si>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</si>
  <si>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</si>
  <si>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</si>
  <si>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</si>
  <si>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</si>
  <si>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</si>
  <si>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</si>
  <si>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</si>
  <si>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</si>
  <si>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</si>
  <si>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</si>
  <si>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</si>
  <si>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</si>
  <si>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</si>
  <si>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</si>
  <si>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</si>
  <si>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</si>
  <si>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</si>
  <si>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</si>
  <si>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</si>
  <si>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</si>
  <si>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</si>
  <si>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</si>
  <si>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</si>
  <si>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</si>
  <si>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</si>
  <si>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</si>
  <si>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</si>
  <si>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</si>
  <si>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</si>
  <si>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</si>
  <si>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</si>
  <si>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</si>
  <si>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</si>
  <si>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</si>
  <si>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</si>
  <si>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</si>
  <si>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</si>
  <si>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</si>
  <si>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</si>
  <si>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</si>
  <si>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</si>
  <si>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</si>
  <si>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</si>
  <si>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</si>
  <si>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</si>
  <si>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</si>
  <si>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</si>
  <si>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</si>
  <si>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</si>
  <si>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</si>
  <si>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</si>
  <si>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</si>
  <si>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</si>
  <si>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</si>
  <si>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</si>
  <si>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</si>
  <si>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</si>
  <si>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</si>
  <si>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</si>
  <si>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</si>
  <si>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</si>
  <si>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</si>
  <si>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</si>
  <si>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</si>
  <si>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</si>
  <si>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</si>
  <si>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</si>
  <si>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</si>
  <si>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</si>
  <si>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</si>
  <si>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</si>
  <si>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</si>
  <si>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</si>
  <si>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</si>
  <si>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</si>
  <si>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</si>
  <si>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</si>
  <si>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</si>
  <si>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</si>
  <si>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</si>
  <si>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</si>
  <si>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</si>
  <si>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</si>
  <si>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</si>
  <si>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</si>
  <si>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</si>
  <si>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</si>
  <si>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</si>
  <si>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</si>
  <si>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</si>
  <si>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</si>
  <si>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</si>
  <si>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</si>
  <si>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</si>
  <si>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</si>
  <si>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</si>
  <si>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</si>
  <si>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</si>
  <si>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</si>
  <si>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</si>
  <si>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</si>
  <si>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</si>
  <si>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</si>
  <si>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</si>
  <si>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</si>
  <si>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</si>
  <si>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</si>
  <si>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</si>
  <si>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</si>
  <si>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</si>
  <si>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</si>
  <si>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</si>
  <si>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</si>
  <si>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</si>
  <si>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</si>
  <si>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</si>
  <si>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</si>
  <si>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</si>
  <si>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</si>
  <si>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</si>
  <si>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</si>
  <si>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</si>
  <si>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</si>
  <si>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</si>
  <si>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</si>
  <si>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</si>
  <si>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</si>
  <si>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</si>
  <si>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</si>
  <si>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COSTO</t>
  </si>
  <si>
    <t>FATTURATO</t>
  </si>
  <si>
    <t>UTILE</t>
  </si>
  <si>
    <t>TOTALE RISORSE</t>
  </si>
  <si>
    <t>OTTIMIZZAZIONE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</si>
</sst>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1F1F1F"/>
      <name val="Calibri"/>
      <scheme val="minor"/>
    </font>
    <font>
      <sz val="10"/>
      <color rgb="FF000000"/>
      <name val="Calibri"/>
      <scheme val="minor"/>
    </font>
    <font>
      <sz val="11"/>
      <color rgb="FF1F1F1F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1" fillId="0" borderId="4" xfId="0" applyFont="1" applyBorder="1"/>
    <xf numFmtId="0" fontId="4" fillId="0" borderId="2" xfId="0" applyFont="1" applyBorder="1"/>
    <xf numFmtId="0" fontId="1" fillId="0" borderId="0" xfId="0" applyFont="1" applyBorder="1"/>
    <xf numFmtId="0" fontId="5" fillId="2" borderId="1" xfId="0" applyFont="1" applyFill="1" applyBorder="1" applyAlignment="1">
      <alignment readingOrder="1"/>
    </xf>
    <xf numFmtId="0" fontId="5" fillId="0" borderId="1" xfId="0" applyFont="1" applyBorder="1" applyAlignment="1">
      <alignment readingOrder="1"/>
    </xf>
    <xf numFmtId="0" fontId="5" fillId="0" borderId="3" xfId="0" applyFont="1" applyBorder="1" applyAlignment="1">
      <alignment readingOrder="1"/>
    </xf>
    <xf numFmtId="0" fontId="3" fillId="0" borderId="0" xfId="0" applyFont="1" applyBorder="1" applyAlignment="1">
      <alignment readingOrder="1"/>
    </xf>
    <xf numFmtId="3" fontId="5" fillId="0" borderId="0" xfId="0" applyNumberFormat="1" applyFont="1" applyBorder="1" applyAlignment="1">
      <alignment readingOrder="1"/>
    </xf>
    <xf numFmtId="0" fontId="5" fillId="0" borderId="0" xfId="0" applyFont="1" applyBorder="1" applyAlignment="1">
      <alignment readingOrder="1"/>
    </xf>
    <xf numFmtId="14" fontId="1" fillId="0" borderId="2" xfId="0" applyNumberFormat="1" applyFont="1" applyBorder="1"/>
    <xf numFmtId="0" fontId="5" fillId="0" borderId="2" xfId="0" applyFont="1" applyBorder="1" applyAlignment="1">
      <alignment readingOrder="1"/>
    </xf>
    <xf numFmtId="14" fontId="5" fillId="0" borderId="2" xfId="0" applyNumberFormat="1" applyFont="1" applyBorder="1" applyAlignment="1">
      <alignment readingOrder="1"/>
    </xf>
    <xf numFmtId="14" fontId="1" fillId="0" borderId="0" xfId="0" applyNumberFormat="1" applyFont="1" applyBorder="1"/>
    <xf numFmtId="14" fontId="5" fillId="0" borderId="0" xfId="0" applyNumberFormat="1" applyFont="1" applyBorder="1" applyAlignment="1">
      <alignment readingOrder="1"/>
    </xf>
    <xf numFmtId="14" fontId="1" fillId="0" borderId="0" xfId="0" applyNumberFormat="1" applyFont="1"/>
    <xf numFmtId="0" fontId="1" fillId="0" borderId="2" xfId="0" applyFont="1" applyBorder="1"/>
    <xf numFmtId="0" fontId="1" fillId="2" borderId="2" xfId="0" applyFont="1" applyFill="1" applyBorder="1"/>
    <xf numFmtId="0" fontId="1" fillId="2" borderId="0" xfId="0" applyFont="1" applyFill="1"/>
    <xf numFmtId="0" fontId="1" fillId="0" borderId="5" xfId="0" applyFont="1" applyBorder="1"/>
    <xf numFmtId="0" fontId="6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26</xdr:row>
      <xdr:rowOff>9525</xdr:rowOff>
    </xdr:from>
    <xdr:to>
      <xdr:col>9</xdr:col>
      <xdr:colOff>190500</xdr:colOff>
      <xdr:row>26</xdr:row>
      <xdr:rowOff>28575</xdr:rowOff>
    </xdr:to>
    <xdr:cxnSp macro="">
      <xdr:nvCxnSpPr>
        <xdr:cNvPr id="2" name="Connettore dritto 1">
          <a:extLst>
            <a:ext uri="{FF2B5EF4-FFF2-40B4-BE49-F238E27FC236}">
              <a16:creationId xmlns:a16="http://schemas.microsoft.com/office/drawing/2014/main" id="{BFB1C6D0-8E5E-2778-9E82-5083526D3295}"/>
            </a:ext>
          </a:extLst>
        </xdr:cNvPr>
        <xdr:cNvCxnSpPr>
          <a:cxnSpLocks/>
        </xdr:cNvCxnSpPr>
      </xdr:nvCxnSpPr>
      <xdr:spPr>
        <a:xfrm>
          <a:off x="7705725" y="4962525"/>
          <a:ext cx="771525" cy="190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28</xdr:row>
      <xdr:rowOff>180975</xdr:rowOff>
    </xdr:from>
    <xdr:to>
      <xdr:col>8</xdr:col>
      <xdr:colOff>114300</xdr:colOff>
      <xdr:row>32</xdr:row>
      <xdr:rowOff>19050</xdr:rowOff>
    </xdr:to>
    <xdr:cxnSp macro="">
      <xdr:nvCxnSpPr>
        <xdr:cNvPr id="3" name="Connettore dritto 2">
          <a:extLst>
            <a:ext uri="{FF2B5EF4-FFF2-40B4-BE49-F238E27FC236}">
              <a16:creationId xmlns:a16="http://schemas.microsoft.com/office/drawing/2014/main" id="{1AE9D01D-CF24-481E-A763-8852DFCCA4F8}"/>
            </a:ext>
            <a:ext uri="{147F2762-F138-4A5C-976F-8EAC2B608ADB}">
              <a16:predDERef xmlns:a16="http://schemas.microsoft.com/office/drawing/2014/main" pred="{BFB1C6D0-8E5E-2778-9E82-5083526D3295}"/>
            </a:ext>
          </a:extLst>
        </xdr:cNvPr>
        <xdr:cNvCxnSpPr>
          <a:cxnSpLocks/>
        </xdr:cNvCxnSpPr>
      </xdr:nvCxnSpPr>
      <xdr:spPr>
        <a:xfrm>
          <a:off x="7277100" y="5514975"/>
          <a:ext cx="361950" cy="6000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26</xdr:row>
      <xdr:rowOff>95250</xdr:rowOff>
    </xdr:from>
    <xdr:to>
      <xdr:col>13</xdr:col>
      <xdr:colOff>161925</xdr:colOff>
      <xdr:row>26</xdr:row>
      <xdr:rowOff>114300</xdr:rowOff>
    </xdr:to>
    <xdr:cxnSp macro="">
      <xdr:nvCxnSpPr>
        <xdr:cNvPr id="4" name="Connettore dritto 3">
          <a:extLst>
            <a:ext uri="{FF2B5EF4-FFF2-40B4-BE49-F238E27FC236}">
              <a16:creationId xmlns:a16="http://schemas.microsoft.com/office/drawing/2014/main" id="{6E7A98C5-1DDB-49ED-818D-578CB3C9A7E7}"/>
            </a:ext>
            <a:ext uri="{147F2762-F138-4A5C-976F-8EAC2B608ADB}">
              <a16:predDERef xmlns:a16="http://schemas.microsoft.com/office/drawing/2014/main" pred="{1AE9D01D-CF24-481E-A763-8852DFCCA4F8}"/>
            </a:ext>
          </a:extLst>
        </xdr:cNvPr>
        <xdr:cNvCxnSpPr>
          <a:cxnSpLocks/>
        </xdr:cNvCxnSpPr>
      </xdr:nvCxnSpPr>
      <xdr:spPr>
        <a:xfrm>
          <a:off x="10725150" y="5048250"/>
          <a:ext cx="771525" cy="190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104775</xdr:colOff>
      <xdr:row>21</xdr:row>
      <xdr:rowOff>142875</xdr:rowOff>
    </xdr:from>
    <xdr:to>
      <xdr:col>16</xdr:col>
      <xdr:colOff>657225</xdr:colOff>
      <xdr:row>25</xdr:row>
      <xdr:rowOff>171450</xdr:rowOff>
    </xdr:to>
    <xdr:cxnSp macro="">
      <xdr:nvCxnSpPr>
        <xdr:cNvPr id="5" name="Connettore dritto 4">
          <a:extLst>
            <a:ext uri="{FF2B5EF4-FFF2-40B4-BE49-F238E27FC236}">
              <a16:creationId xmlns:a16="http://schemas.microsoft.com/office/drawing/2014/main" id="{FE855B04-21F4-4B09-9FD1-D4AA5C248BFA}"/>
            </a:ext>
            <a:ext uri="{147F2762-F138-4A5C-976F-8EAC2B608ADB}">
              <a16:predDERef xmlns:a16="http://schemas.microsoft.com/office/drawing/2014/main" pred="{6E7A98C5-1DDB-49ED-818D-578CB3C9A7E7}"/>
            </a:ext>
          </a:extLst>
        </xdr:cNvPr>
        <xdr:cNvCxnSpPr>
          <a:cxnSpLocks/>
        </xdr:cNvCxnSpPr>
      </xdr:nvCxnSpPr>
      <xdr:spPr>
        <a:xfrm flipV="1">
          <a:off x="13420725" y="4143375"/>
          <a:ext cx="552450" cy="7905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26</xdr:row>
      <xdr:rowOff>104775</xdr:rowOff>
    </xdr:from>
    <xdr:to>
      <xdr:col>16</xdr:col>
      <xdr:colOff>638175</xdr:colOff>
      <xdr:row>26</xdr:row>
      <xdr:rowOff>171450</xdr:rowOff>
    </xdr:to>
    <xdr:cxnSp macro="">
      <xdr:nvCxnSpPr>
        <xdr:cNvPr id="6" name="Connettore dritto 5">
          <a:extLst>
            <a:ext uri="{FF2B5EF4-FFF2-40B4-BE49-F238E27FC236}">
              <a16:creationId xmlns:a16="http://schemas.microsoft.com/office/drawing/2014/main" id="{DA351825-024D-4CA8-8A29-7669D0160D48}"/>
            </a:ext>
            <a:ext uri="{147F2762-F138-4A5C-976F-8EAC2B608ADB}">
              <a16:predDERef xmlns:a16="http://schemas.microsoft.com/office/drawing/2014/main" pred="{FE855B04-21F4-4B09-9FD1-D4AA5C248BFA}"/>
            </a:ext>
          </a:extLst>
        </xdr:cNvPr>
        <xdr:cNvCxnSpPr>
          <a:cxnSpLocks/>
        </xdr:cNvCxnSpPr>
      </xdr:nvCxnSpPr>
      <xdr:spPr>
        <a:xfrm flipV="1">
          <a:off x="13458825" y="5057775"/>
          <a:ext cx="495300" cy="666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27</xdr:row>
      <xdr:rowOff>142875</xdr:rowOff>
    </xdr:from>
    <xdr:to>
      <xdr:col>16</xdr:col>
      <xdr:colOff>609600</xdr:colOff>
      <xdr:row>30</xdr:row>
      <xdr:rowOff>95250</xdr:rowOff>
    </xdr:to>
    <xdr:cxnSp macro="">
      <xdr:nvCxnSpPr>
        <xdr:cNvPr id="7" name="Connettore dritto 6">
          <a:extLst>
            <a:ext uri="{FF2B5EF4-FFF2-40B4-BE49-F238E27FC236}">
              <a16:creationId xmlns:a16="http://schemas.microsoft.com/office/drawing/2014/main" id="{BEE0A91E-4C9E-417C-9C05-FFB299973E6B}"/>
            </a:ext>
            <a:ext uri="{147F2762-F138-4A5C-976F-8EAC2B608ADB}">
              <a16:predDERef xmlns:a16="http://schemas.microsoft.com/office/drawing/2014/main" pred="{DA351825-024D-4CA8-8A29-7669D0160D48}"/>
            </a:ext>
          </a:extLst>
        </xdr:cNvPr>
        <xdr:cNvCxnSpPr>
          <a:cxnSpLocks/>
        </xdr:cNvCxnSpPr>
      </xdr:nvCxnSpPr>
      <xdr:spPr>
        <a:xfrm>
          <a:off x="13458825" y="5286375"/>
          <a:ext cx="466725" cy="5238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57150</xdr:colOff>
      <xdr:row>31</xdr:row>
      <xdr:rowOff>95250</xdr:rowOff>
    </xdr:from>
    <xdr:to>
      <xdr:col>20</xdr:col>
      <xdr:colOff>552450</xdr:colOff>
      <xdr:row>31</xdr:row>
      <xdr:rowOff>161925</xdr:rowOff>
    </xdr:to>
    <xdr:cxnSp macro="">
      <xdr:nvCxnSpPr>
        <xdr:cNvPr id="8" name="Connettore dritto 7">
          <a:extLst>
            <a:ext uri="{FF2B5EF4-FFF2-40B4-BE49-F238E27FC236}">
              <a16:creationId xmlns:a16="http://schemas.microsoft.com/office/drawing/2014/main" id="{4BA16EDB-E685-4339-94D9-8F665E1C4A16}"/>
            </a:ext>
            <a:ext uri="{147F2762-F138-4A5C-976F-8EAC2B608ADB}">
              <a16:predDERef xmlns:a16="http://schemas.microsoft.com/office/drawing/2014/main" pred="{BEE0A91E-4C9E-417C-9C05-FFB299973E6B}"/>
            </a:ext>
          </a:extLst>
        </xdr:cNvPr>
        <xdr:cNvCxnSpPr>
          <a:cxnSpLocks/>
        </xdr:cNvCxnSpPr>
      </xdr:nvCxnSpPr>
      <xdr:spPr>
        <a:xfrm flipV="1">
          <a:off x="16116300" y="6000750"/>
          <a:ext cx="495300" cy="666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</xdr:colOff>
      <xdr:row>31</xdr:row>
      <xdr:rowOff>47625</xdr:rowOff>
    </xdr:from>
    <xdr:to>
      <xdr:col>24</xdr:col>
      <xdr:colOff>533400</xdr:colOff>
      <xdr:row>36</xdr:row>
      <xdr:rowOff>66675</xdr:rowOff>
    </xdr:to>
    <xdr:cxnSp macro="">
      <xdr:nvCxnSpPr>
        <xdr:cNvPr id="9" name="Connettore dritto 8">
          <a:extLst>
            <a:ext uri="{FF2B5EF4-FFF2-40B4-BE49-F238E27FC236}">
              <a16:creationId xmlns:a16="http://schemas.microsoft.com/office/drawing/2014/main" id="{7FADFBFB-9FC5-42B7-B279-1E027723FCC8}"/>
            </a:ext>
            <a:ext uri="{147F2762-F138-4A5C-976F-8EAC2B608ADB}">
              <a16:predDERef xmlns:a16="http://schemas.microsoft.com/office/drawing/2014/main" pred="{4BA16EDB-E685-4339-94D9-8F665E1C4A16}"/>
            </a:ext>
          </a:extLst>
        </xdr:cNvPr>
        <xdr:cNvCxnSpPr>
          <a:cxnSpLocks/>
        </xdr:cNvCxnSpPr>
      </xdr:nvCxnSpPr>
      <xdr:spPr>
        <a:xfrm>
          <a:off x="18869025" y="5953125"/>
          <a:ext cx="504825" cy="97155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228600</xdr:colOff>
      <xdr:row>26</xdr:row>
      <xdr:rowOff>9525</xdr:rowOff>
    </xdr:from>
    <xdr:to>
      <xdr:col>24</xdr:col>
      <xdr:colOff>733425</xdr:colOff>
      <xdr:row>29</xdr:row>
      <xdr:rowOff>123825</xdr:rowOff>
    </xdr:to>
    <xdr:cxnSp macro="">
      <xdr:nvCxnSpPr>
        <xdr:cNvPr id="10" name="Connettore dritto 9">
          <a:extLst>
            <a:ext uri="{FF2B5EF4-FFF2-40B4-BE49-F238E27FC236}">
              <a16:creationId xmlns:a16="http://schemas.microsoft.com/office/drawing/2014/main" id="{1C89E266-8961-414B-AC5B-2628941FF0FC}"/>
            </a:ext>
            <a:ext uri="{147F2762-F138-4A5C-976F-8EAC2B608ADB}">
              <a16:predDERef xmlns:a16="http://schemas.microsoft.com/office/drawing/2014/main" pred="{7FADFBFB-9FC5-42B7-B279-1E027723FCC8}"/>
            </a:ext>
          </a:extLst>
        </xdr:cNvPr>
        <xdr:cNvCxnSpPr>
          <a:cxnSpLocks/>
        </xdr:cNvCxnSpPr>
      </xdr:nvCxnSpPr>
      <xdr:spPr>
        <a:xfrm>
          <a:off x="16287750" y="4962525"/>
          <a:ext cx="3286125" cy="6858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33</xdr:row>
      <xdr:rowOff>104775</xdr:rowOff>
    </xdr:from>
    <xdr:to>
      <xdr:col>28</xdr:col>
      <xdr:colOff>523875</xdr:colOff>
      <xdr:row>36</xdr:row>
      <xdr:rowOff>114300</xdr:rowOff>
    </xdr:to>
    <xdr:cxnSp macro="">
      <xdr:nvCxnSpPr>
        <xdr:cNvPr id="11" name="Connettore dritto 10">
          <a:extLst>
            <a:ext uri="{FF2B5EF4-FFF2-40B4-BE49-F238E27FC236}">
              <a16:creationId xmlns:a16="http://schemas.microsoft.com/office/drawing/2014/main" id="{E9CF0BCA-DA67-4665-8D69-FDFCD60C1189}"/>
            </a:ext>
            <a:ext uri="{147F2762-F138-4A5C-976F-8EAC2B608ADB}">
              <a16:predDERef xmlns:a16="http://schemas.microsoft.com/office/drawing/2014/main" pred="{1C89E266-8961-414B-AC5B-2628941FF0FC}"/>
            </a:ext>
          </a:extLst>
        </xdr:cNvPr>
        <xdr:cNvCxnSpPr>
          <a:cxnSpLocks/>
        </xdr:cNvCxnSpPr>
      </xdr:nvCxnSpPr>
      <xdr:spPr>
        <a:xfrm flipV="1">
          <a:off x="21602700" y="6391275"/>
          <a:ext cx="504825" cy="5810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</xdr:colOff>
      <xdr:row>30</xdr:row>
      <xdr:rowOff>171450</xdr:rowOff>
    </xdr:from>
    <xdr:to>
      <xdr:col>28</xdr:col>
      <xdr:colOff>533400</xdr:colOff>
      <xdr:row>32</xdr:row>
      <xdr:rowOff>142875</xdr:rowOff>
    </xdr:to>
    <xdr:cxnSp macro="">
      <xdr:nvCxnSpPr>
        <xdr:cNvPr id="12" name="Connettore dritto 11">
          <a:extLst>
            <a:ext uri="{FF2B5EF4-FFF2-40B4-BE49-F238E27FC236}">
              <a16:creationId xmlns:a16="http://schemas.microsoft.com/office/drawing/2014/main" id="{61257A5D-05A1-4719-937A-6B3530C6F06D}"/>
            </a:ext>
            <a:ext uri="{147F2762-F138-4A5C-976F-8EAC2B608ADB}">
              <a16:predDERef xmlns:a16="http://schemas.microsoft.com/office/drawing/2014/main" pred="{E9CF0BCA-DA67-4665-8D69-FDFCD60C1189}"/>
            </a:ext>
          </a:extLst>
        </xdr:cNvPr>
        <xdr:cNvCxnSpPr>
          <a:cxnSpLocks/>
        </xdr:cNvCxnSpPr>
      </xdr:nvCxnSpPr>
      <xdr:spPr>
        <a:xfrm>
          <a:off x="21593175" y="5886450"/>
          <a:ext cx="523875" cy="3524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36</xdr:row>
      <xdr:rowOff>161925</xdr:rowOff>
    </xdr:from>
    <xdr:to>
      <xdr:col>31</xdr:col>
      <xdr:colOff>228600</xdr:colOff>
      <xdr:row>51</xdr:row>
      <xdr:rowOff>133350</xdr:rowOff>
    </xdr:to>
    <xdr:cxnSp macro="">
      <xdr:nvCxnSpPr>
        <xdr:cNvPr id="13" name="Connettore dritto 12">
          <a:extLst>
            <a:ext uri="{FF2B5EF4-FFF2-40B4-BE49-F238E27FC236}">
              <a16:creationId xmlns:a16="http://schemas.microsoft.com/office/drawing/2014/main" id="{635A07A7-FD79-A147-2927-5EC1783AE7E9}"/>
            </a:ext>
            <a:ext uri="{147F2762-F138-4A5C-976F-8EAC2B608ADB}">
              <a16:predDERef xmlns:a16="http://schemas.microsoft.com/office/drawing/2014/main" pred="{61257A5D-05A1-4719-937A-6B3530C6F06D}"/>
            </a:ext>
          </a:extLst>
        </xdr:cNvPr>
        <xdr:cNvCxnSpPr>
          <a:cxnSpLocks/>
        </xdr:cNvCxnSpPr>
      </xdr:nvCxnSpPr>
      <xdr:spPr>
        <a:xfrm>
          <a:off x="10687050" y="7019925"/>
          <a:ext cx="13258800" cy="2828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238125</xdr:colOff>
      <xdr:row>36</xdr:row>
      <xdr:rowOff>142875</xdr:rowOff>
    </xdr:from>
    <xdr:to>
      <xdr:col>34</xdr:col>
      <xdr:colOff>495300</xdr:colOff>
      <xdr:row>51</xdr:row>
      <xdr:rowOff>66675</xdr:rowOff>
    </xdr:to>
    <xdr:cxnSp macro="">
      <xdr:nvCxnSpPr>
        <xdr:cNvPr id="14" name="Connettore dritto 13">
          <a:extLst>
            <a:ext uri="{FF2B5EF4-FFF2-40B4-BE49-F238E27FC236}">
              <a16:creationId xmlns:a16="http://schemas.microsoft.com/office/drawing/2014/main" id="{79897343-28FE-4A14-B47F-F6DC137B950F}"/>
            </a:ext>
            <a:ext uri="{147F2762-F138-4A5C-976F-8EAC2B608ADB}">
              <a16:predDERef xmlns:a16="http://schemas.microsoft.com/office/drawing/2014/main" pred="{635A07A7-FD79-A147-2927-5EC1783AE7E9}"/>
            </a:ext>
          </a:extLst>
        </xdr:cNvPr>
        <xdr:cNvCxnSpPr>
          <a:cxnSpLocks/>
        </xdr:cNvCxnSpPr>
      </xdr:nvCxnSpPr>
      <xdr:spPr>
        <a:xfrm flipV="1">
          <a:off x="23955375" y="7000875"/>
          <a:ext cx="2238375" cy="27813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57150</xdr:colOff>
      <xdr:row>33</xdr:row>
      <xdr:rowOff>95250</xdr:rowOff>
    </xdr:from>
    <xdr:to>
      <xdr:col>35</xdr:col>
      <xdr:colOff>0</xdr:colOff>
      <xdr:row>34</xdr:row>
      <xdr:rowOff>171450</xdr:rowOff>
    </xdr:to>
    <xdr:cxnSp macro="">
      <xdr:nvCxnSpPr>
        <xdr:cNvPr id="15" name="Connettore dritto 14">
          <a:extLst>
            <a:ext uri="{FF2B5EF4-FFF2-40B4-BE49-F238E27FC236}">
              <a16:creationId xmlns:a16="http://schemas.microsoft.com/office/drawing/2014/main" id="{F2E04FB7-CA50-4EBC-8618-8CBF0D15DCAA}"/>
            </a:ext>
            <a:ext uri="{147F2762-F138-4A5C-976F-8EAC2B608ADB}">
              <a16:predDERef xmlns:a16="http://schemas.microsoft.com/office/drawing/2014/main" pred="{79897343-28FE-4A14-B47F-F6DC137B950F}"/>
            </a:ext>
          </a:extLst>
        </xdr:cNvPr>
        <xdr:cNvCxnSpPr>
          <a:cxnSpLocks/>
        </xdr:cNvCxnSpPr>
      </xdr:nvCxnSpPr>
      <xdr:spPr>
        <a:xfrm>
          <a:off x="25146000" y="6381750"/>
          <a:ext cx="1162050" cy="2667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38100</xdr:colOff>
      <xdr:row>31</xdr:row>
      <xdr:rowOff>123825</xdr:rowOff>
    </xdr:from>
    <xdr:to>
      <xdr:col>24</xdr:col>
      <xdr:colOff>666750</xdr:colOff>
      <xdr:row>32</xdr:row>
      <xdr:rowOff>38100</xdr:rowOff>
    </xdr:to>
    <xdr:cxnSp macro="">
      <xdr:nvCxnSpPr>
        <xdr:cNvPr id="16" name="Connettore dritto 15">
          <a:extLst>
            <a:ext uri="{FF2B5EF4-FFF2-40B4-BE49-F238E27FC236}">
              <a16:creationId xmlns:a16="http://schemas.microsoft.com/office/drawing/2014/main" id="{DEACA540-F9D6-4214-9887-BC0FCE68C874}"/>
            </a:ext>
            <a:ext uri="{147F2762-F138-4A5C-976F-8EAC2B608ADB}">
              <a16:predDERef xmlns:a16="http://schemas.microsoft.com/office/drawing/2014/main" pred="{F2E04FB7-CA50-4EBC-8618-8CBF0D15DCAA}"/>
            </a:ext>
          </a:extLst>
        </xdr:cNvPr>
        <xdr:cNvCxnSpPr>
          <a:cxnSpLocks/>
        </xdr:cNvCxnSpPr>
      </xdr:nvCxnSpPr>
      <xdr:spPr>
        <a:xfrm flipV="1">
          <a:off x="18878550" y="6029325"/>
          <a:ext cx="628650" cy="1047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542925</xdr:colOff>
      <xdr:row>37</xdr:row>
      <xdr:rowOff>171450</xdr:rowOff>
    </xdr:from>
    <xdr:to>
      <xdr:col>28</xdr:col>
      <xdr:colOff>600075</xdr:colOff>
      <xdr:row>39</xdr:row>
      <xdr:rowOff>9525</xdr:rowOff>
    </xdr:to>
    <xdr:cxnSp macro="">
      <xdr:nvCxnSpPr>
        <xdr:cNvPr id="17" name="Connettore dritto 16">
          <a:extLst>
            <a:ext uri="{FF2B5EF4-FFF2-40B4-BE49-F238E27FC236}">
              <a16:creationId xmlns:a16="http://schemas.microsoft.com/office/drawing/2014/main" id="{D5323B74-9EAB-4952-A823-399C9F851386}"/>
            </a:ext>
            <a:ext uri="{147F2762-F138-4A5C-976F-8EAC2B608ADB}">
              <a16:predDERef xmlns:a16="http://schemas.microsoft.com/office/drawing/2014/main" pred="{DEACA540-F9D6-4214-9887-BC0FCE68C874}"/>
            </a:ext>
          </a:extLst>
        </xdr:cNvPr>
        <xdr:cNvCxnSpPr>
          <a:cxnSpLocks/>
        </xdr:cNvCxnSpPr>
      </xdr:nvCxnSpPr>
      <xdr:spPr>
        <a:xfrm>
          <a:off x="21516975" y="7219950"/>
          <a:ext cx="666750" cy="2190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</xdr:colOff>
      <xdr:row>35</xdr:row>
      <xdr:rowOff>95250</xdr:rowOff>
    </xdr:from>
    <xdr:to>
      <xdr:col>38</xdr:col>
      <xdr:colOff>438150</xdr:colOff>
      <xdr:row>35</xdr:row>
      <xdr:rowOff>123825</xdr:rowOff>
    </xdr:to>
    <xdr:cxnSp macro="">
      <xdr:nvCxnSpPr>
        <xdr:cNvPr id="18" name="Connettore dritto 17">
          <a:extLst>
            <a:ext uri="{FF2B5EF4-FFF2-40B4-BE49-F238E27FC236}">
              <a16:creationId xmlns:a16="http://schemas.microsoft.com/office/drawing/2014/main" id="{BFB9C129-2488-4D24-9C2B-A676F10BD4CB}"/>
            </a:ext>
            <a:ext uri="{147F2762-F138-4A5C-976F-8EAC2B608ADB}">
              <a16:predDERef xmlns:a16="http://schemas.microsoft.com/office/drawing/2014/main" pred="{D5323B74-9EAB-4952-A823-399C9F851386}"/>
            </a:ext>
          </a:extLst>
        </xdr:cNvPr>
        <xdr:cNvCxnSpPr>
          <a:cxnSpLocks/>
        </xdr:cNvCxnSpPr>
      </xdr:nvCxnSpPr>
      <xdr:spPr>
        <a:xfrm>
          <a:off x="28460700" y="6762750"/>
          <a:ext cx="419100" cy="285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E115"/>
  <sheetViews>
    <sheetView tabSelected="1" workbookViewId="0">
      <selection activeCell="H21" sqref="A1:XFD1048576"/>
    </sheetView>
  </sheetViews>
  <sheetFormatPr defaultRowHeight="15"/>
  <cols>
    <col min="1" max="2" width="9.140625" style="2"/>
    <col min="3" max="3" width="15" style="2" bestFit="1" customWidth="1"/>
    <col min="4" max="4" width="35.140625" style="2" bestFit="1" customWidth="1"/>
    <col min="5" max="5" width="11.85546875" style="2" bestFit="1" customWidth="1"/>
    <col min="6" max="6" width="12" style="2" bestFit="1" customWidth="1"/>
    <col min="7" max="7" width="11.42578125" style="2" bestFit="1" customWidth="1"/>
    <col min="8" max="8" width="9.140625" style="2"/>
    <col min="9" max="13" width="11.42578125" style="2" bestFit="1" customWidth="1"/>
    <col min="14" max="14" width="9.140625" style="2"/>
    <col min="15" max="15" width="11.42578125" style="2" bestFit="1" customWidth="1"/>
    <col min="16" max="16" width="15.7109375" style="2" bestFit="1" customWidth="1"/>
    <col min="17" max="20" width="11.42578125" style="2" bestFit="1" customWidth="1"/>
    <col min="21" max="21" width="12" style="2" bestFit="1" customWidth="1"/>
    <col min="22" max="235" width="11.42578125" style="2" bestFit="1" customWidth="1"/>
    <col min="236" max="240" width="9.140625" style="2"/>
    <col min="241" max="241" width="10.140625" style="2" bestFit="1" customWidth="1"/>
    <col min="242" max="16384" width="9.140625" style="2"/>
  </cols>
  <sheetData>
    <row r="4" spans="2:24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4" t="s">
        <v>5</v>
      </c>
      <c r="H4" s="5" t="s">
        <v>6</v>
      </c>
      <c r="I4" s="6" t="s">
        <v>7</v>
      </c>
      <c r="L4" s="1" t="s">
        <v>8</v>
      </c>
      <c r="O4" s="7"/>
      <c r="P4" s="7"/>
      <c r="Q4" s="7"/>
      <c r="R4" s="7"/>
      <c r="S4" s="7"/>
      <c r="T4" s="7"/>
    </row>
    <row r="5" spans="2:24">
      <c r="B5" s="8" t="s">
        <v>9</v>
      </c>
      <c r="C5" s="9" t="s">
        <v>10</v>
      </c>
      <c r="D5" s="9" t="s">
        <v>11</v>
      </c>
      <c r="E5" s="9">
        <v>10</v>
      </c>
      <c r="F5" s="9" t="s">
        <v>12</v>
      </c>
      <c r="G5" s="10">
        <v>2</v>
      </c>
      <c r="H5" s="5">
        <f>I28-I26</f>
        <v>0</v>
      </c>
      <c r="I5" s="6">
        <v>0</v>
      </c>
      <c r="L5" s="2" t="s">
        <v>13</v>
      </c>
      <c r="O5" s="7"/>
      <c r="P5" s="7"/>
      <c r="Q5" s="7"/>
      <c r="R5" s="7"/>
      <c r="S5" s="7"/>
      <c r="T5" s="7"/>
    </row>
    <row r="6" spans="2:24">
      <c r="B6" s="8" t="s">
        <v>14</v>
      </c>
      <c r="C6" s="9" t="s">
        <v>15</v>
      </c>
      <c r="D6" s="9" t="s">
        <v>16</v>
      </c>
      <c r="E6" s="9">
        <v>10</v>
      </c>
      <c r="F6" s="9" t="s">
        <v>9</v>
      </c>
      <c r="G6" s="10">
        <v>5</v>
      </c>
      <c r="H6" s="5">
        <f>M28-M26</f>
        <v>0</v>
      </c>
      <c r="I6" s="6">
        <v>0</v>
      </c>
      <c r="O6" s="7"/>
      <c r="P6" s="7"/>
      <c r="Q6" s="7"/>
      <c r="R6" s="11"/>
      <c r="S6" s="7"/>
      <c r="T6" s="7"/>
    </row>
    <row r="7" spans="2:24">
      <c r="B7" s="8" t="s">
        <v>17</v>
      </c>
      <c r="C7" s="9" t="s">
        <v>18</v>
      </c>
      <c r="D7" s="9" t="s">
        <v>19</v>
      </c>
      <c r="E7" s="9">
        <v>25</v>
      </c>
      <c r="F7" s="9" t="s">
        <v>14</v>
      </c>
      <c r="G7" s="10">
        <v>4</v>
      </c>
      <c r="H7" s="5">
        <f>Q28-Q26</f>
        <v>0</v>
      </c>
      <c r="I7" s="6">
        <v>0</v>
      </c>
      <c r="O7" s="7"/>
      <c r="P7" s="7"/>
      <c r="Q7" s="7"/>
      <c r="R7" s="12"/>
      <c r="S7" s="7"/>
      <c r="T7" s="7"/>
    </row>
    <row r="8" spans="2:24">
      <c r="B8" s="9" t="s">
        <v>20</v>
      </c>
      <c r="C8" s="9" t="s">
        <v>21</v>
      </c>
      <c r="D8" s="9" t="s">
        <v>22</v>
      </c>
      <c r="E8" s="9">
        <v>31</v>
      </c>
      <c r="F8" s="9" t="s">
        <v>17</v>
      </c>
      <c r="G8" s="10">
        <v>3</v>
      </c>
      <c r="H8" s="5">
        <f>U23-U21</f>
        <v>143</v>
      </c>
      <c r="I8" s="6">
        <v>0</v>
      </c>
      <c r="O8" s="7"/>
      <c r="P8" s="7"/>
      <c r="Q8" s="7"/>
      <c r="R8" s="12"/>
      <c r="S8" s="7"/>
      <c r="T8" s="7"/>
    </row>
    <row r="9" spans="2:24">
      <c r="B9" s="9" t="s">
        <v>23</v>
      </c>
      <c r="C9" s="9" t="s">
        <v>24</v>
      </c>
      <c r="D9" s="9" t="s">
        <v>25</v>
      </c>
      <c r="E9" s="9">
        <v>15</v>
      </c>
      <c r="F9" s="9" t="s">
        <v>17</v>
      </c>
      <c r="G9" s="10">
        <v>6</v>
      </c>
      <c r="H9" s="5">
        <f>U28-U26</f>
        <v>92</v>
      </c>
      <c r="I9" s="6">
        <v>77</v>
      </c>
      <c r="O9" s="7"/>
      <c r="P9" s="7"/>
      <c r="Q9" s="7"/>
      <c r="R9" s="12"/>
      <c r="S9" s="7"/>
      <c r="T9" s="7"/>
    </row>
    <row r="10" spans="2:24">
      <c r="B10" s="8" t="s">
        <v>26</v>
      </c>
      <c r="C10" s="9" t="s">
        <v>27</v>
      </c>
      <c r="D10" s="9" t="s">
        <v>28</v>
      </c>
      <c r="E10" s="9">
        <v>46</v>
      </c>
      <c r="F10" s="9" t="s">
        <v>17</v>
      </c>
      <c r="G10" s="10">
        <v>3</v>
      </c>
      <c r="H10" s="5">
        <f>U33-U31</f>
        <v>0</v>
      </c>
      <c r="I10" s="6">
        <v>0</v>
      </c>
      <c r="L10" s="7"/>
      <c r="M10" s="7"/>
      <c r="N10" s="7"/>
      <c r="O10" s="7"/>
      <c r="P10" s="7"/>
      <c r="Q10" s="7"/>
      <c r="R10" s="12"/>
      <c r="S10" s="7"/>
      <c r="T10" s="7"/>
      <c r="U10" s="7"/>
      <c r="V10" s="7"/>
      <c r="W10" s="7"/>
      <c r="X10" s="7"/>
    </row>
    <row r="11" spans="2:24">
      <c r="B11" s="8" t="s">
        <v>29</v>
      </c>
      <c r="C11" s="9" t="s">
        <v>30</v>
      </c>
      <c r="D11" s="9" t="s">
        <v>31</v>
      </c>
      <c r="E11" s="9">
        <v>46</v>
      </c>
      <c r="F11" s="9" t="s">
        <v>26</v>
      </c>
      <c r="G11" s="10">
        <v>2</v>
      </c>
      <c r="H11" s="5">
        <f>Y33-Y31</f>
        <v>0</v>
      </c>
      <c r="I11" s="6">
        <v>0</v>
      </c>
      <c r="L11" s="7"/>
      <c r="M11" s="7"/>
      <c r="N11" s="7"/>
      <c r="O11" s="11"/>
      <c r="P11" s="11"/>
      <c r="Q11" s="11"/>
      <c r="R11" s="11"/>
      <c r="S11" s="11"/>
      <c r="T11" s="11"/>
      <c r="U11" s="11"/>
      <c r="V11" s="7"/>
      <c r="W11" s="7"/>
      <c r="X11" s="7"/>
    </row>
    <row r="12" spans="2:24">
      <c r="B12" s="9" t="s">
        <v>32</v>
      </c>
      <c r="C12" s="9" t="s">
        <v>33</v>
      </c>
      <c r="D12" s="9" t="s">
        <v>34</v>
      </c>
      <c r="E12" s="9">
        <v>31</v>
      </c>
      <c r="F12" s="9" t="s">
        <v>35</v>
      </c>
      <c r="G12" s="10">
        <v>4</v>
      </c>
      <c r="H12" s="5">
        <f>AC33-AC31</f>
        <v>92</v>
      </c>
      <c r="I12" s="6">
        <v>15</v>
      </c>
      <c r="L12" s="7"/>
      <c r="M12" s="7"/>
      <c r="N12" s="7"/>
      <c r="O12" s="11"/>
      <c r="P12" s="13"/>
      <c r="Q12" s="13"/>
      <c r="R12" s="13"/>
      <c r="S12" s="7"/>
      <c r="T12" s="13"/>
      <c r="U12" s="12"/>
      <c r="V12" s="7"/>
      <c r="W12" s="7"/>
      <c r="X12" s="7"/>
    </row>
    <row r="13" spans="2:24">
      <c r="B13" s="9" t="s">
        <v>36</v>
      </c>
      <c r="C13" s="9" t="s">
        <v>37</v>
      </c>
      <c r="D13" s="9" t="s">
        <v>38</v>
      </c>
      <c r="E13" s="9">
        <v>123</v>
      </c>
      <c r="F13" s="9" t="s">
        <v>9</v>
      </c>
      <c r="G13" s="10">
        <v>3</v>
      </c>
      <c r="H13" s="5">
        <f>L35-L33</f>
        <v>65</v>
      </c>
      <c r="I13" s="6">
        <v>65</v>
      </c>
      <c r="L13" s="7"/>
      <c r="M13" s="7"/>
      <c r="N13" s="7"/>
      <c r="O13" s="11"/>
      <c r="P13" s="13"/>
      <c r="Q13" s="13"/>
      <c r="R13" s="13"/>
      <c r="S13" s="7"/>
      <c r="T13" s="13"/>
      <c r="U13" s="12"/>
      <c r="V13" s="7"/>
      <c r="W13" s="7"/>
      <c r="X13" s="7"/>
    </row>
    <row r="14" spans="2:24">
      <c r="B14" s="8" t="s">
        <v>39</v>
      </c>
      <c r="C14" s="9" t="s">
        <v>40</v>
      </c>
      <c r="D14" s="9" t="s">
        <v>41</v>
      </c>
      <c r="E14" s="9">
        <v>46</v>
      </c>
      <c r="F14" s="9" t="s">
        <v>29</v>
      </c>
      <c r="G14" s="10">
        <v>3</v>
      </c>
      <c r="H14" s="5">
        <f>AC38-AC36</f>
        <v>0</v>
      </c>
      <c r="I14" s="6">
        <v>0</v>
      </c>
      <c r="L14" s="7"/>
      <c r="M14" s="7"/>
      <c r="N14" s="7"/>
      <c r="O14" s="11"/>
      <c r="P14" s="13"/>
      <c r="Q14" s="13"/>
      <c r="R14" s="13"/>
      <c r="S14" s="7"/>
      <c r="T14" s="13"/>
      <c r="U14" s="12"/>
      <c r="V14" s="7"/>
      <c r="W14" s="7"/>
      <c r="X14" s="7"/>
    </row>
    <row r="15" spans="2:24">
      <c r="B15" s="8" t="s">
        <v>42</v>
      </c>
      <c r="C15" s="9" t="s">
        <v>43</v>
      </c>
      <c r="D15" s="9" t="s">
        <v>44</v>
      </c>
      <c r="E15" s="9">
        <v>15</v>
      </c>
      <c r="F15" s="9" t="s">
        <v>45</v>
      </c>
      <c r="G15" s="10">
        <v>2</v>
      </c>
      <c r="H15" s="5">
        <f>AG35-AG33</f>
        <v>0</v>
      </c>
      <c r="I15" s="6">
        <v>0</v>
      </c>
      <c r="L15" s="7"/>
      <c r="M15" s="7"/>
      <c r="N15" s="7"/>
      <c r="O15" s="11"/>
      <c r="P15" s="13"/>
      <c r="Q15" s="13"/>
      <c r="R15" s="13"/>
      <c r="S15" s="7"/>
      <c r="T15" s="13"/>
      <c r="U15" s="12"/>
      <c r="V15" s="7"/>
      <c r="W15" s="7"/>
      <c r="X15" s="7"/>
    </row>
    <row r="16" spans="2:24">
      <c r="B16" s="9" t="s">
        <v>46</v>
      </c>
      <c r="C16" s="9" t="s">
        <v>47</v>
      </c>
      <c r="D16" s="9" t="s">
        <v>48</v>
      </c>
      <c r="E16" s="9">
        <v>32</v>
      </c>
      <c r="F16" s="9" t="s">
        <v>39</v>
      </c>
      <c r="G16" s="10">
        <v>3</v>
      </c>
      <c r="H16" s="5">
        <f>AG41-AG39</f>
        <v>4</v>
      </c>
      <c r="I16" s="6">
        <v>0</v>
      </c>
      <c r="L16" s="7"/>
      <c r="M16" s="7"/>
      <c r="N16" s="7"/>
      <c r="O16" s="11"/>
      <c r="P16" s="13"/>
      <c r="Q16" s="13"/>
      <c r="R16" s="13"/>
      <c r="S16" s="7"/>
      <c r="T16" s="13"/>
      <c r="U16" s="12"/>
      <c r="V16" s="7"/>
      <c r="W16" s="7"/>
      <c r="X16" s="7"/>
    </row>
    <row r="17" spans="2:29">
      <c r="B17" s="8" t="s">
        <v>49</v>
      </c>
      <c r="C17" s="9" t="s">
        <v>50</v>
      </c>
      <c r="D17" s="9" t="s">
        <v>51</v>
      </c>
      <c r="E17" s="9">
        <v>15</v>
      </c>
      <c r="F17" s="9" t="s">
        <v>52</v>
      </c>
      <c r="G17" s="10">
        <v>2</v>
      </c>
      <c r="H17" s="5">
        <f>AL37-AL35</f>
        <v>0</v>
      </c>
      <c r="I17" s="6">
        <v>0</v>
      </c>
      <c r="L17" s="7"/>
      <c r="M17" s="7"/>
      <c r="N17" s="7"/>
      <c r="O17" s="11"/>
      <c r="P17" s="13"/>
      <c r="Q17" s="13"/>
      <c r="R17" s="13"/>
      <c r="S17" s="7"/>
      <c r="T17" s="13"/>
      <c r="U17" s="12"/>
      <c r="V17" s="7"/>
      <c r="W17" s="7"/>
      <c r="X17" s="7"/>
    </row>
    <row r="18" spans="2:29">
      <c r="B18" s="8" t="s">
        <v>53</v>
      </c>
      <c r="C18" s="9" t="s">
        <v>54</v>
      </c>
      <c r="D18" s="9" t="s">
        <v>55</v>
      </c>
      <c r="E18" s="9">
        <v>6</v>
      </c>
      <c r="F18" s="9" t="s">
        <v>49</v>
      </c>
      <c r="G18" s="10">
        <v>4</v>
      </c>
      <c r="H18" s="5">
        <f>AP37-AP35</f>
        <v>0</v>
      </c>
      <c r="I18" s="6">
        <v>0</v>
      </c>
      <c r="L18" s="7"/>
      <c r="M18" s="7"/>
      <c r="N18" s="7"/>
      <c r="O18" s="11"/>
      <c r="P18" s="13"/>
      <c r="Q18" s="13"/>
      <c r="R18" s="13"/>
      <c r="S18" s="7"/>
      <c r="T18" s="13"/>
      <c r="U18" s="12"/>
      <c r="V18" s="7"/>
      <c r="W18" s="7"/>
      <c r="X18" s="7"/>
    </row>
    <row r="19" spans="2:29">
      <c r="D19" s="2" t="s">
        <v>56</v>
      </c>
      <c r="E19" s="2">
        <f>SUM(E5:E7,E10:E11,E14:E15,E17:E18)</f>
        <v>219</v>
      </c>
      <c r="L19" s="7"/>
      <c r="M19" s="7"/>
      <c r="N19" s="7"/>
      <c r="O19" s="11"/>
      <c r="P19" s="13"/>
      <c r="Q19" s="13"/>
      <c r="R19" s="13"/>
      <c r="S19" s="7"/>
      <c r="T19" s="13"/>
      <c r="U19" s="12"/>
      <c r="V19" s="7"/>
      <c r="W19" s="7"/>
      <c r="X19" s="7"/>
    </row>
    <row r="20" spans="2:29">
      <c r="L20" s="7"/>
      <c r="M20" s="7"/>
      <c r="N20" s="7"/>
      <c r="O20" s="11"/>
      <c r="P20" s="13"/>
      <c r="Q20" s="13"/>
      <c r="R20" s="13"/>
      <c r="S20" s="7"/>
      <c r="T20" s="13"/>
      <c r="U20" s="12"/>
      <c r="V20" s="7"/>
      <c r="W20" s="7"/>
      <c r="X20" s="7"/>
    </row>
    <row r="21" spans="2:29">
      <c r="L21" s="7"/>
      <c r="M21" s="7"/>
      <c r="N21" s="7"/>
      <c r="O21" s="11"/>
      <c r="P21" s="13"/>
      <c r="Q21" s="13"/>
      <c r="R21" s="13"/>
      <c r="S21" s="14">
        <f>Q26+1</f>
        <v>46158</v>
      </c>
      <c r="T21" s="15"/>
      <c r="U21" s="16">
        <f>S21+31-1</f>
        <v>46188</v>
      </c>
      <c r="V21" s="7"/>
      <c r="W21" s="7"/>
      <c r="X21" s="7"/>
    </row>
    <row r="22" spans="2:29">
      <c r="L22" s="7"/>
      <c r="M22" s="7"/>
      <c r="N22" s="7"/>
      <c r="O22" s="11"/>
      <c r="P22" s="13"/>
      <c r="Q22" s="13"/>
      <c r="R22" s="13"/>
      <c r="S22" s="14"/>
      <c r="T22" s="15" t="s">
        <v>57</v>
      </c>
      <c r="U22" s="16"/>
      <c r="V22" s="7"/>
      <c r="W22" s="7"/>
      <c r="X22" s="7"/>
    </row>
    <row r="23" spans="2:29">
      <c r="L23" s="7"/>
      <c r="M23" s="7"/>
      <c r="N23" s="7"/>
      <c r="O23" s="11"/>
      <c r="P23" s="13"/>
      <c r="Q23" s="13"/>
      <c r="R23" s="13"/>
      <c r="S23" s="14">
        <f>U23-31+1</f>
        <v>46301</v>
      </c>
      <c r="T23" s="15"/>
      <c r="U23" s="16">
        <f>AP37</f>
        <v>46331</v>
      </c>
      <c r="V23" s="7"/>
      <c r="W23" s="7"/>
      <c r="X23" s="7"/>
    </row>
    <row r="24" spans="2:29">
      <c r="L24" s="7"/>
      <c r="M24" s="7"/>
      <c r="N24" s="7"/>
      <c r="O24" s="11"/>
      <c r="P24" s="13"/>
      <c r="Q24" s="13"/>
      <c r="R24" s="13"/>
      <c r="S24" s="17"/>
      <c r="T24" s="13"/>
      <c r="U24" s="18"/>
      <c r="V24" s="7"/>
      <c r="W24" s="7"/>
      <c r="X24" s="7"/>
    </row>
    <row r="25" spans="2:29">
      <c r="L25" s="7"/>
      <c r="M25" s="7"/>
      <c r="N25" s="7"/>
      <c r="O25" s="11"/>
      <c r="P25" s="13"/>
      <c r="Q25" s="13"/>
      <c r="R25" s="13"/>
      <c r="S25" s="17"/>
      <c r="T25" s="13"/>
      <c r="U25" s="18"/>
      <c r="V25" s="7"/>
      <c r="W25" s="7"/>
      <c r="X25" s="7"/>
    </row>
    <row r="26" spans="2:29">
      <c r="G26" s="14">
        <v>46113</v>
      </c>
      <c r="H26" s="14"/>
      <c r="I26" s="14">
        <f>G26+10-1</f>
        <v>46122</v>
      </c>
      <c r="J26" s="19"/>
      <c r="K26" s="14">
        <f>I26+1</f>
        <v>46123</v>
      </c>
      <c r="L26" s="14"/>
      <c r="M26" s="14">
        <f>K26+10-1</f>
        <v>46132</v>
      </c>
      <c r="N26" s="17"/>
      <c r="O26" s="14">
        <f>M26+1</f>
        <v>46133</v>
      </c>
      <c r="P26" s="14"/>
      <c r="Q26" s="14">
        <f>O26+25-1</f>
        <v>46157</v>
      </c>
      <c r="R26" s="7"/>
      <c r="S26" s="14">
        <f>Q26+1</f>
        <v>46158</v>
      </c>
      <c r="T26" s="20"/>
      <c r="U26" s="14">
        <f>S26+15-1</f>
        <v>46172</v>
      </c>
      <c r="V26" s="7"/>
      <c r="W26" s="7"/>
      <c r="X26" s="7"/>
    </row>
    <row r="27" spans="2:29">
      <c r="G27" s="20"/>
      <c r="H27" s="21" t="s">
        <v>58</v>
      </c>
      <c r="I27" s="20"/>
      <c r="K27" s="20"/>
      <c r="L27" s="21" t="s">
        <v>59</v>
      </c>
      <c r="M27" s="20"/>
      <c r="N27" s="7"/>
      <c r="O27" s="20"/>
      <c r="P27" s="21" t="s">
        <v>60</v>
      </c>
      <c r="Q27" s="20"/>
      <c r="R27" s="7"/>
      <c r="S27" s="14"/>
      <c r="T27" s="20" t="s">
        <v>61</v>
      </c>
      <c r="U27" s="14"/>
      <c r="V27" s="7"/>
      <c r="W27" s="7"/>
      <c r="X27" s="7"/>
    </row>
    <row r="28" spans="2:29">
      <c r="G28" s="14">
        <f>I28-10+1</f>
        <v>46113</v>
      </c>
      <c r="H28" s="14"/>
      <c r="I28" s="14">
        <f>K28-1</f>
        <v>46122</v>
      </c>
      <c r="J28" s="19"/>
      <c r="K28" s="14">
        <f>M28-10+1</f>
        <v>46123</v>
      </c>
      <c r="L28" s="14"/>
      <c r="M28" s="14">
        <f>O28-1</f>
        <v>46132</v>
      </c>
      <c r="N28" s="17"/>
      <c r="O28" s="14">
        <f>Q28-25+1</f>
        <v>46133</v>
      </c>
      <c r="P28" s="14"/>
      <c r="Q28" s="14">
        <f>S33-1</f>
        <v>46157</v>
      </c>
      <c r="R28" s="7"/>
      <c r="S28" s="14">
        <f>U28-15+1</f>
        <v>46250</v>
      </c>
      <c r="T28" s="20"/>
      <c r="U28" s="14">
        <f>AA33-1</f>
        <v>46264</v>
      </c>
      <c r="V28" s="7"/>
      <c r="W28" s="7"/>
      <c r="X28" s="7"/>
    </row>
    <row r="29" spans="2:29">
      <c r="L29" s="7"/>
      <c r="M29" s="7"/>
      <c r="N29" s="7"/>
      <c r="O29" s="7"/>
      <c r="P29" s="7"/>
      <c r="Q29" s="7"/>
      <c r="R29" s="7"/>
      <c r="S29" s="17"/>
      <c r="T29" s="7"/>
      <c r="U29" s="17"/>
      <c r="V29" s="7"/>
      <c r="W29" s="7"/>
      <c r="X29" s="7"/>
    </row>
    <row r="30" spans="2:29">
      <c r="S30" s="19"/>
      <c r="U30" s="19"/>
    </row>
    <row r="31" spans="2:29">
      <c r="S31" s="14">
        <f>Q26+1</f>
        <v>46158</v>
      </c>
      <c r="T31" s="20"/>
      <c r="U31" s="14">
        <f>S31+46-1</f>
        <v>46203</v>
      </c>
      <c r="W31" s="14">
        <f>U31+1</f>
        <v>46204</v>
      </c>
      <c r="X31" s="20"/>
      <c r="Y31" s="14">
        <f>W31+46-1</f>
        <v>46249</v>
      </c>
      <c r="AA31" s="14">
        <f>U26+1</f>
        <v>46173</v>
      </c>
      <c r="AB31" s="20"/>
      <c r="AC31" s="14">
        <f>AA31+31-1</f>
        <v>46203</v>
      </c>
    </row>
    <row r="32" spans="2:29">
      <c r="S32" s="14"/>
      <c r="T32" s="21" t="s">
        <v>62</v>
      </c>
      <c r="U32" s="14"/>
      <c r="W32" s="20"/>
      <c r="X32" s="21" t="s">
        <v>63</v>
      </c>
      <c r="Y32" s="20"/>
      <c r="AA32" s="20"/>
      <c r="AB32" s="20" t="s">
        <v>64</v>
      </c>
      <c r="AC32" s="20"/>
    </row>
    <row r="33" spans="10:42">
      <c r="J33" s="14">
        <f>I26+1</f>
        <v>46123</v>
      </c>
      <c r="K33" s="20"/>
      <c r="L33" s="14">
        <f>J33+123-1</f>
        <v>46245</v>
      </c>
      <c r="S33" s="14">
        <f>U33-46+1</f>
        <v>46158</v>
      </c>
      <c r="T33" s="20"/>
      <c r="U33" s="14">
        <f>W33-1</f>
        <v>46203</v>
      </c>
      <c r="W33" s="14">
        <f>Y33-46+1</f>
        <v>46204</v>
      </c>
      <c r="X33" s="20"/>
      <c r="Y33" s="14">
        <f>AA38-1</f>
        <v>46249</v>
      </c>
      <c r="AA33" s="14">
        <f>AC33-31+1</f>
        <v>46265</v>
      </c>
      <c r="AB33" s="20"/>
      <c r="AC33" s="14">
        <f>AE35-1</f>
        <v>46295</v>
      </c>
      <c r="AE33" s="14">
        <f>AC36+1</f>
        <v>46296</v>
      </c>
      <c r="AF33" s="20"/>
      <c r="AG33" s="14">
        <f>AE33+15-1</f>
        <v>46310</v>
      </c>
    </row>
    <row r="34" spans="10:42">
      <c r="J34" s="20"/>
      <c r="K34" s="20" t="s">
        <v>65</v>
      </c>
      <c r="L34" s="20"/>
      <c r="AE34" s="20"/>
      <c r="AF34" s="21" t="s">
        <v>66</v>
      </c>
      <c r="AG34" s="20"/>
    </row>
    <row r="35" spans="10:42">
      <c r="J35" s="14">
        <f>L35-123+1</f>
        <v>46188</v>
      </c>
      <c r="K35" s="20"/>
      <c r="L35" s="14">
        <f>AJ37-1</f>
        <v>46310</v>
      </c>
      <c r="AE35" s="14">
        <f>AG35-15+1</f>
        <v>46296</v>
      </c>
      <c r="AF35" s="20"/>
      <c r="AG35" s="14">
        <f>AJ37-1</f>
        <v>46310</v>
      </c>
      <c r="AJ35" s="14">
        <f>AG33+1</f>
        <v>46311</v>
      </c>
      <c r="AK35" s="20"/>
      <c r="AL35" s="14">
        <f>AJ35+15-1</f>
        <v>46325</v>
      </c>
      <c r="AN35" s="14">
        <f>AL35+1</f>
        <v>46326</v>
      </c>
      <c r="AO35" s="20"/>
      <c r="AP35" s="14">
        <f>AN35+6-1</f>
        <v>46331</v>
      </c>
    </row>
    <row r="36" spans="10:42">
      <c r="AA36" s="14">
        <f>Y31+1</f>
        <v>46250</v>
      </c>
      <c r="AB36" s="20"/>
      <c r="AC36" s="14">
        <f>AA36+46-1</f>
        <v>46295</v>
      </c>
      <c r="AJ36" s="20"/>
      <c r="AK36" s="21" t="s">
        <v>67</v>
      </c>
      <c r="AL36" s="20"/>
      <c r="AN36" s="20"/>
      <c r="AO36" s="21" t="s">
        <v>68</v>
      </c>
      <c r="AP36" s="20"/>
    </row>
    <row r="37" spans="10:42">
      <c r="AA37" s="20"/>
      <c r="AB37" s="21" t="s">
        <v>69</v>
      </c>
      <c r="AC37" s="20"/>
      <c r="AJ37" s="14">
        <f>AL37-15+1</f>
        <v>46311</v>
      </c>
      <c r="AK37" s="20"/>
      <c r="AL37" s="14">
        <f>AN37-1</f>
        <v>46325</v>
      </c>
      <c r="AN37" s="14">
        <f>AP37-6+1</f>
        <v>46326</v>
      </c>
      <c r="AO37" s="20"/>
      <c r="AP37" s="14">
        <f>AP35</f>
        <v>46331</v>
      </c>
    </row>
    <row r="38" spans="10:42">
      <c r="AA38" s="14">
        <f>AC38-46+1</f>
        <v>46250</v>
      </c>
      <c r="AB38" s="20"/>
      <c r="AC38" s="14">
        <f>AE35-1</f>
        <v>46295</v>
      </c>
    </row>
    <row r="39" spans="10:42">
      <c r="AE39" s="14">
        <f>AC36+1</f>
        <v>46296</v>
      </c>
      <c r="AF39" s="20"/>
      <c r="AG39" s="14">
        <f>AE39+32-1</f>
        <v>46327</v>
      </c>
    </row>
    <row r="40" spans="10:42">
      <c r="AE40" s="20"/>
      <c r="AF40" s="20" t="s">
        <v>70</v>
      </c>
      <c r="AG40" s="20"/>
    </row>
    <row r="41" spans="10:42">
      <c r="AE41" s="14">
        <f>AG41-32+1</f>
        <v>46300</v>
      </c>
      <c r="AF41" s="20"/>
      <c r="AG41" s="14">
        <f>AP37</f>
        <v>46331</v>
      </c>
    </row>
    <row r="67" spans="5:239">
      <c r="Q67" s="14">
        <v>46113</v>
      </c>
      <c r="R67" s="14">
        <v>46114</v>
      </c>
      <c r="S67" s="14">
        <v>46115</v>
      </c>
      <c r="T67" s="14">
        <v>46116</v>
      </c>
      <c r="U67" s="14">
        <v>46117</v>
      </c>
      <c r="V67" s="14">
        <v>46118</v>
      </c>
      <c r="W67" s="14">
        <v>46119</v>
      </c>
      <c r="X67" s="14">
        <v>46120</v>
      </c>
      <c r="Y67" s="14">
        <v>46121</v>
      </c>
      <c r="Z67" s="14">
        <v>46122</v>
      </c>
      <c r="AA67" s="14">
        <v>46123</v>
      </c>
      <c r="AB67" s="14">
        <v>46124</v>
      </c>
      <c r="AC67" s="14">
        <v>46125</v>
      </c>
      <c r="AD67" s="14">
        <v>46126</v>
      </c>
      <c r="AE67" s="14">
        <v>46127</v>
      </c>
      <c r="AF67" s="14">
        <v>46128</v>
      </c>
      <c r="AG67" s="14">
        <v>46129</v>
      </c>
      <c r="AH67" s="14">
        <v>46130</v>
      </c>
      <c r="AI67" s="14">
        <v>46131</v>
      </c>
      <c r="AJ67" s="14">
        <v>46132</v>
      </c>
      <c r="AK67" s="14">
        <v>46133</v>
      </c>
      <c r="AL67" s="14">
        <v>46134</v>
      </c>
      <c r="AM67" s="14">
        <v>46135</v>
      </c>
      <c r="AN67" s="14">
        <v>46136</v>
      </c>
      <c r="AO67" s="14">
        <v>46137</v>
      </c>
      <c r="AP67" s="14">
        <v>46138</v>
      </c>
      <c r="AQ67" s="14">
        <v>46139</v>
      </c>
      <c r="AR67" s="14">
        <v>46140</v>
      </c>
      <c r="AS67" s="14">
        <v>46141</v>
      </c>
      <c r="AT67" s="14">
        <v>46142</v>
      </c>
      <c r="AU67" s="14">
        <v>46143</v>
      </c>
      <c r="AV67" s="14">
        <v>46144</v>
      </c>
      <c r="AW67" s="14">
        <v>46145</v>
      </c>
      <c r="AX67" s="14">
        <v>46146</v>
      </c>
      <c r="AY67" s="14">
        <v>46147</v>
      </c>
      <c r="AZ67" s="14">
        <v>46148</v>
      </c>
      <c r="BA67" s="14">
        <v>46149</v>
      </c>
      <c r="BB67" s="14">
        <v>46150</v>
      </c>
      <c r="BC67" s="14">
        <v>46151</v>
      </c>
      <c r="BD67" s="14">
        <v>46152</v>
      </c>
      <c r="BE67" s="14">
        <v>46153</v>
      </c>
      <c r="BF67" s="14">
        <v>46154</v>
      </c>
      <c r="BG67" s="14">
        <v>46155</v>
      </c>
      <c r="BH67" s="14">
        <v>46156</v>
      </c>
      <c r="BI67" s="14">
        <v>46157</v>
      </c>
      <c r="BJ67" s="14">
        <v>46158</v>
      </c>
      <c r="BK67" s="14">
        <v>46159</v>
      </c>
      <c r="BL67" s="14">
        <v>46160</v>
      </c>
      <c r="BM67" s="14">
        <v>46161</v>
      </c>
      <c r="BN67" s="14">
        <v>46162</v>
      </c>
      <c r="BO67" s="14">
        <v>46163</v>
      </c>
      <c r="BP67" s="14">
        <v>46164</v>
      </c>
      <c r="BQ67" s="14">
        <v>46165</v>
      </c>
      <c r="BR67" s="14">
        <v>46166</v>
      </c>
      <c r="BS67" s="14">
        <v>46167</v>
      </c>
      <c r="BT67" s="14">
        <v>46168</v>
      </c>
      <c r="BU67" s="14">
        <v>46169</v>
      </c>
      <c r="BV67" s="14">
        <v>46170</v>
      </c>
      <c r="BW67" s="14">
        <v>46171</v>
      </c>
      <c r="BX67" s="14">
        <v>46172</v>
      </c>
      <c r="BY67" s="14">
        <v>46173</v>
      </c>
      <c r="BZ67" s="14">
        <v>46174</v>
      </c>
      <c r="CA67" s="14">
        <v>46175</v>
      </c>
      <c r="CB67" s="14">
        <v>46176</v>
      </c>
      <c r="CC67" s="14">
        <v>46177</v>
      </c>
      <c r="CD67" s="14">
        <v>46178</v>
      </c>
      <c r="CE67" s="14">
        <v>46179</v>
      </c>
      <c r="CF67" s="14">
        <v>46180</v>
      </c>
      <c r="CG67" s="14">
        <v>46181</v>
      </c>
      <c r="CH67" s="14">
        <v>46182</v>
      </c>
      <c r="CI67" s="14">
        <v>46183</v>
      </c>
      <c r="CJ67" s="14">
        <v>46184</v>
      </c>
      <c r="CK67" s="14">
        <v>46185</v>
      </c>
      <c r="CL67" s="14">
        <v>46186</v>
      </c>
      <c r="CM67" s="14">
        <v>46187</v>
      </c>
      <c r="CN67" s="14">
        <v>46188</v>
      </c>
      <c r="CO67" s="14">
        <v>46189</v>
      </c>
      <c r="CP67" s="14">
        <v>46190</v>
      </c>
      <c r="CQ67" s="14">
        <v>46191</v>
      </c>
      <c r="CR67" s="14">
        <v>46192</v>
      </c>
      <c r="CS67" s="14">
        <v>46193</v>
      </c>
      <c r="CT67" s="14">
        <v>46194</v>
      </c>
      <c r="CU67" s="14">
        <v>46195</v>
      </c>
      <c r="CV67" s="14">
        <v>46196</v>
      </c>
      <c r="CW67" s="14">
        <v>46197</v>
      </c>
      <c r="CX67" s="14">
        <v>46198</v>
      </c>
      <c r="CY67" s="14">
        <v>46199</v>
      </c>
      <c r="CZ67" s="14">
        <v>46200</v>
      </c>
      <c r="DA67" s="14">
        <v>46201</v>
      </c>
      <c r="DB67" s="14">
        <v>46202</v>
      </c>
      <c r="DC67" s="14">
        <v>46203</v>
      </c>
      <c r="DD67" s="14">
        <v>46204</v>
      </c>
      <c r="DE67" s="14">
        <v>46205</v>
      </c>
      <c r="DF67" s="14">
        <v>46206</v>
      </c>
      <c r="DG67" s="14">
        <v>46207</v>
      </c>
      <c r="DH67" s="14">
        <v>46208</v>
      </c>
      <c r="DI67" s="14">
        <v>46209</v>
      </c>
      <c r="DJ67" s="14">
        <v>46210</v>
      </c>
      <c r="DK67" s="14">
        <v>46211</v>
      </c>
      <c r="DL67" s="14">
        <v>46212</v>
      </c>
      <c r="DM67" s="14">
        <v>46213</v>
      </c>
      <c r="DN67" s="14">
        <v>46214</v>
      </c>
      <c r="DO67" s="14">
        <v>46215</v>
      </c>
      <c r="DP67" s="14">
        <v>46216</v>
      </c>
      <c r="DQ67" s="14">
        <v>46217</v>
      </c>
      <c r="DR67" s="14">
        <v>46218</v>
      </c>
      <c r="DS67" s="14">
        <v>46219</v>
      </c>
      <c r="DT67" s="14">
        <v>46220</v>
      </c>
      <c r="DU67" s="14">
        <v>46221</v>
      </c>
      <c r="DV67" s="14">
        <v>46222</v>
      </c>
      <c r="DW67" s="14">
        <v>46223</v>
      </c>
      <c r="DX67" s="14">
        <v>46224</v>
      </c>
      <c r="DY67" s="14">
        <v>46225</v>
      </c>
      <c r="DZ67" s="14">
        <v>46226</v>
      </c>
      <c r="EA67" s="14">
        <v>46227</v>
      </c>
      <c r="EB67" s="14">
        <v>46228</v>
      </c>
      <c r="EC67" s="14">
        <v>46229</v>
      </c>
      <c r="ED67" s="14">
        <v>46230</v>
      </c>
      <c r="EE67" s="14">
        <v>46231</v>
      </c>
      <c r="EF67" s="14">
        <v>46232</v>
      </c>
      <c r="EG67" s="14">
        <v>46233</v>
      </c>
      <c r="EH67" s="14">
        <v>46234</v>
      </c>
      <c r="EI67" s="14">
        <v>46235</v>
      </c>
      <c r="EJ67" s="14">
        <v>46236</v>
      </c>
      <c r="EK67" s="14">
        <v>46237</v>
      </c>
      <c r="EL67" s="14">
        <v>46238</v>
      </c>
      <c r="EM67" s="14">
        <v>46239</v>
      </c>
      <c r="EN67" s="14">
        <v>46240</v>
      </c>
      <c r="EO67" s="14">
        <v>46241</v>
      </c>
      <c r="EP67" s="14">
        <v>46242</v>
      </c>
      <c r="EQ67" s="14">
        <v>46243</v>
      </c>
      <c r="ER67" s="14">
        <v>46244</v>
      </c>
      <c r="ES67" s="14">
        <v>46245</v>
      </c>
      <c r="ET67" s="14">
        <v>46246</v>
      </c>
      <c r="EU67" s="14">
        <v>46247</v>
      </c>
      <c r="EV67" s="14">
        <v>46248</v>
      </c>
      <c r="EW67" s="14">
        <v>46249</v>
      </c>
      <c r="EX67" s="14">
        <v>46250</v>
      </c>
      <c r="EY67" s="14">
        <v>46251</v>
      </c>
      <c r="EZ67" s="14">
        <v>46252</v>
      </c>
      <c r="FA67" s="14">
        <v>46253</v>
      </c>
      <c r="FB67" s="14">
        <v>46254</v>
      </c>
      <c r="FC67" s="14">
        <v>46255</v>
      </c>
      <c r="FD67" s="14">
        <v>46256</v>
      </c>
      <c r="FE67" s="14">
        <v>46257</v>
      </c>
      <c r="FF67" s="14">
        <v>46258</v>
      </c>
      <c r="FG67" s="14">
        <v>46259</v>
      </c>
      <c r="FH67" s="14">
        <v>46260</v>
      </c>
      <c r="FI67" s="14">
        <v>46261</v>
      </c>
      <c r="FJ67" s="14">
        <v>46262</v>
      </c>
      <c r="FK67" s="14">
        <v>46263</v>
      </c>
      <c r="FL67" s="14">
        <v>46264</v>
      </c>
      <c r="FM67" s="14">
        <v>46265</v>
      </c>
      <c r="FN67" s="14">
        <v>46266</v>
      </c>
      <c r="FO67" s="14">
        <v>46267</v>
      </c>
      <c r="FP67" s="14">
        <v>46268</v>
      </c>
      <c r="FQ67" s="14">
        <v>46269</v>
      </c>
      <c r="FR67" s="14">
        <v>46270</v>
      </c>
      <c r="FS67" s="14">
        <v>46271</v>
      </c>
      <c r="FT67" s="14">
        <v>46272</v>
      </c>
      <c r="FU67" s="14">
        <v>46273</v>
      </c>
      <c r="FV67" s="14">
        <v>46274</v>
      </c>
      <c r="FW67" s="14">
        <v>46275</v>
      </c>
      <c r="FX67" s="14">
        <v>46276</v>
      </c>
      <c r="FY67" s="14">
        <v>46277</v>
      </c>
      <c r="FZ67" s="14">
        <v>46278</v>
      </c>
      <c r="GA67" s="14">
        <v>46279</v>
      </c>
      <c r="GB67" s="14">
        <v>46280</v>
      </c>
      <c r="GC67" s="14">
        <v>46281</v>
      </c>
      <c r="GD67" s="14">
        <v>46282</v>
      </c>
      <c r="GE67" s="14">
        <v>46283</v>
      </c>
      <c r="GF67" s="14">
        <v>46284</v>
      </c>
      <c r="GG67" s="14">
        <v>46285</v>
      </c>
      <c r="GH67" s="14">
        <v>46286</v>
      </c>
      <c r="GI67" s="14">
        <v>46287</v>
      </c>
      <c r="GJ67" s="14">
        <v>46288</v>
      </c>
      <c r="GK67" s="14">
        <v>46289</v>
      </c>
      <c r="GL67" s="14">
        <v>46290</v>
      </c>
      <c r="GM67" s="14">
        <v>46291</v>
      </c>
      <c r="GN67" s="14">
        <v>46292</v>
      </c>
      <c r="GO67" s="14">
        <v>46293</v>
      </c>
      <c r="GP67" s="14">
        <v>46294</v>
      </c>
      <c r="GQ67" s="14">
        <v>46295</v>
      </c>
      <c r="GR67" s="14">
        <v>46296</v>
      </c>
      <c r="GS67" s="14">
        <v>46297</v>
      </c>
      <c r="GT67" s="14">
        <v>46298</v>
      </c>
      <c r="GU67" s="14">
        <v>46299</v>
      </c>
      <c r="GV67" s="14">
        <v>46300</v>
      </c>
      <c r="GW67" s="14">
        <v>46301</v>
      </c>
      <c r="GX67" s="14">
        <v>46302</v>
      </c>
      <c r="GY67" s="14">
        <v>46303</v>
      </c>
      <c r="GZ67" s="14">
        <v>46304</v>
      </c>
      <c r="HA67" s="14">
        <v>46305</v>
      </c>
      <c r="HB67" s="14">
        <v>46306</v>
      </c>
      <c r="HC67" s="14">
        <v>46307</v>
      </c>
      <c r="HD67" s="14">
        <v>46308</v>
      </c>
      <c r="HE67" s="14">
        <v>46309</v>
      </c>
      <c r="HF67" s="14">
        <v>46310</v>
      </c>
      <c r="HG67" s="14">
        <v>46311</v>
      </c>
      <c r="HH67" s="14">
        <v>46312</v>
      </c>
      <c r="HI67" s="14">
        <v>46313</v>
      </c>
      <c r="HJ67" s="14">
        <v>46314</v>
      </c>
      <c r="HK67" s="14">
        <v>46315</v>
      </c>
      <c r="HL67" s="14">
        <v>46316</v>
      </c>
      <c r="HM67" s="14">
        <v>46317</v>
      </c>
      <c r="HN67" s="14">
        <v>46318</v>
      </c>
      <c r="HO67" s="14">
        <v>46319</v>
      </c>
      <c r="HP67" s="14">
        <v>46320</v>
      </c>
      <c r="HQ67" s="14">
        <v>46321</v>
      </c>
      <c r="HR67" s="14">
        <v>46322</v>
      </c>
      <c r="HS67" s="14">
        <v>46323</v>
      </c>
      <c r="HT67" s="14">
        <v>46324</v>
      </c>
      <c r="HU67" s="14">
        <v>46325</v>
      </c>
      <c r="HV67" s="14">
        <v>46326</v>
      </c>
      <c r="HW67" s="14">
        <v>46327</v>
      </c>
      <c r="HX67" s="14">
        <v>46328</v>
      </c>
      <c r="HY67" s="14">
        <v>46329</v>
      </c>
      <c r="HZ67" s="14">
        <v>46330</v>
      </c>
      <c r="IA67" s="14">
        <v>46331</v>
      </c>
      <c r="ID67" s="22" t="s">
        <v>71</v>
      </c>
      <c r="IE67" s="22"/>
    </row>
    <row r="68" spans="5:239">
      <c r="Q68" s="20" t="s">
        <v>72</v>
      </c>
      <c r="R68" s="20" t="s">
        <v>73</v>
      </c>
      <c r="S68" s="20" t="s">
        <v>74</v>
      </c>
      <c r="T68" s="20" t="s">
        <v>75</v>
      </c>
      <c r="U68" s="20" t="s">
        <v>76</v>
      </c>
      <c r="V68" s="20" t="s">
        <v>77</v>
      </c>
      <c r="W68" s="20" t="s">
        <v>78</v>
      </c>
      <c r="X68" s="20" t="s">
        <v>79</v>
      </c>
      <c r="Y68" s="20" t="s">
        <v>80</v>
      </c>
      <c r="Z68" s="20" t="s">
        <v>81</v>
      </c>
      <c r="AA68" s="20" t="s">
        <v>82</v>
      </c>
      <c r="AB68" s="20" t="s">
        <v>83</v>
      </c>
      <c r="AC68" s="20" t="s">
        <v>84</v>
      </c>
      <c r="AD68" s="20" t="s">
        <v>85</v>
      </c>
      <c r="AE68" s="20" t="s">
        <v>86</v>
      </c>
      <c r="AF68" s="20" t="s">
        <v>87</v>
      </c>
      <c r="AG68" s="20" t="s">
        <v>88</v>
      </c>
      <c r="AH68" s="20" t="s">
        <v>89</v>
      </c>
      <c r="AI68" s="20" t="s">
        <v>90</v>
      </c>
      <c r="AJ68" s="20" t="s">
        <v>91</v>
      </c>
      <c r="AK68" s="20" t="s">
        <v>92</v>
      </c>
      <c r="AL68" s="20" t="s">
        <v>93</v>
      </c>
      <c r="AM68" s="20" t="s">
        <v>94</v>
      </c>
      <c r="AN68" s="20" t="s">
        <v>95</v>
      </c>
      <c r="AO68" s="20" t="s">
        <v>96</v>
      </c>
      <c r="AP68" s="20" t="s">
        <v>97</v>
      </c>
      <c r="AQ68" s="20" t="s">
        <v>98</v>
      </c>
      <c r="AR68" s="20" t="s">
        <v>99</v>
      </c>
      <c r="AS68" s="20" t="s">
        <v>100</v>
      </c>
      <c r="AT68" s="20" t="s">
        <v>101</v>
      </c>
      <c r="AU68" s="20" t="s">
        <v>102</v>
      </c>
      <c r="AV68" s="20" t="s">
        <v>103</v>
      </c>
      <c r="AW68" s="20" t="s">
        <v>104</v>
      </c>
      <c r="AX68" s="20" t="s">
        <v>105</v>
      </c>
      <c r="AY68" s="20" t="s">
        <v>106</v>
      </c>
      <c r="AZ68" s="20" t="s">
        <v>107</v>
      </c>
      <c r="BA68" s="20" t="s">
        <v>108</v>
      </c>
      <c r="BB68" s="20" t="s">
        <v>109</v>
      </c>
      <c r="BC68" s="20" t="s">
        <v>110</v>
      </c>
      <c r="BD68" s="20" t="s">
        <v>111</v>
      </c>
      <c r="BE68" s="20" t="s">
        <v>112</v>
      </c>
      <c r="BF68" s="20" t="s">
        <v>113</v>
      </c>
      <c r="BG68" s="20" t="s">
        <v>114</v>
      </c>
      <c r="BH68" s="20" t="s">
        <v>115</v>
      </c>
      <c r="BI68" s="20" t="s">
        <v>116</v>
      </c>
      <c r="BJ68" s="20" t="s">
        <v>117</v>
      </c>
      <c r="BK68" s="20" t="s">
        <v>118</v>
      </c>
      <c r="BL68" s="20" t="s">
        <v>119</v>
      </c>
      <c r="BM68" s="20" t="s">
        <v>120</v>
      </c>
      <c r="BN68" s="20" t="s">
        <v>121</v>
      </c>
      <c r="BO68" s="20" t="s">
        <v>122</v>
      </c>
      <c r="BP68" s="20" t="s">
        <v>123</v>
      </c>
      <c r="BQ68" s="20" t="s">
        <v>124</v>
      </c>
      <c r="BR68" s="20" t="s">
        <v>125</v>
      </c>
      <c r="BS68" s="20" t="s">
        <v>126</v>
      </c>
      <c r="BT68" s="20" t="s">
        <v>127</v>
      </c>
      <c r="BU68" s="20" t="s">
        <v>128</v>
      </c>
      <c r="BV68" s="20" t="s">
        <v>129</v>
      </c>
      <c r="BW68" s="20" t="s">
        <v>130</v>
      </c>
      <c r="BX68" s="20" t="s">
        <v>131</v>
      </c>
      <c r="BY68" s="20" t="s">
        <v>132</v>
      </c>
      <c r="BZ68" s="20" t="s">
        <v>133</v>
      </c>
      <c r="CA68" s="20" t="s">
        <v>134</v>
      </c>
      <c r="CB68" s="20" t="s">
        <v>135</v>
      </c>
      <c r="CC68" s="20" t="s">
        <v>136</v>
      </c>
      <c r="CD68" s="20" t="s">
        <v>137</v>
      </c>
      <c r="CE68" s="20" t="s">
        <v>138</v>
      </c>
      <c r="CF68" s="20" t="s">
        <v>139</v>
      </c>
      <c r="CG68" s="20" t="s">
        <v>140</v>
      </c>
      <c r="CH68" s="20" t="s">
        <v>141</v>
      </c>
      <c r="CI68" s="20" t="s">
        <v>142</v>
      </c>
      <c r="CJ68" s="20" t="s">
        <v>143</v>
      </c>
      <c r="CK68" s="20" t="s">
        <v>144</v>
      </c>
      <c r="CL68" s="20" t="s">
        <v>145</v>
      </c>
      <c r="CM68" s="20" t="s">
        <v>146</v>
      </c>
      <c r="CN68" s="20" t="s">
        <v>147</v>
      </c>
      <c r="CO68" s="20" t="s">
        <v>148</v>
      </c>
      <c r="CP68" s="20" t="s">
        <v>149</v>
      </c>
      <c r="CQ68" s="20" t="s">
        <v>150</v>
      </c>
      <c r="CR68" s="20" t="s">
        <v>151</v>
      </c>
      <c r="CS68" s="20" t="s">
        <v>152</v>
      </c>
      <c r="CT68" s="20" t="s">
        <v>153</v>
      </c>
      <c r="CU68" s="20" t="s">
        <v>154</v>
      </c>
      <c r="CV68" s="20" t="s">
        <v>155</v>
      </c>
      <c r="CW68" s="20" t="s">
        <v>156</v>
      </c>
      <c r="CX68" s="20" t="s">
        <v>157</v>
      </c>
      <c r="CY68" s="20" t="s">
        <v>158</v>
      </c>
      <c r="CZ68" s="20" t="s">
        <v>159</v>
      </c>
      <c r="DA68" s="20" t="s">
        <v>160</v>
      </c>
      <c r="DB68" s="20" t="s">
        <v>161</v>
      </c>
      <c r="DC68" s="20" t="s">
        <v>162</v>
      </c>
      <c r="DD68" s="20" t="s">
        <v>163</v>
      </c>
      <c r="DE68" s="20" t="s">
        <v>164</v>
      </c>
      <c r="DF68" s="20" t="s">
        <v>165</v>
      </c>
      <c r="DG68" s="20" t="s">
        <v>166</v>
      </c>
      <c r="DH68" s="20" t="s">
        <v>167</v>
      </c>
      <c r="DI68" s="20" t="s">
        <v>168</v>
      </c>
      <c r="DJ68" s="20" t="s">
        <v>169</v>
      </c>
      <c r="DK68" s="20" t="s">
        <v>170</v>
      </c>
      <c r="DL68" s="20" t="s">
        <v>171</v>
      </c>
      <c r="DM68" s="20" t="s">
        <v>172</v>
      </c>
      <c r="DN68" s="20" t="s">
        <v>173</v>
      </c>
      <c r="DO68" s="20" t="s">
        <v>174</v>
      </c>
      <c r="DP68" s="20" t="s">
        <v>175</v>
      </c>
      <c r="DQ68" s="20" t="s">
        <v>176</v>
      </c>
      <c r="DR68" s="20" t="s">
        <v>177</v>
      </c>
      <c r="DS68" s="20" t="s">
        <v>178</v>
      </c>
      <c r="DT68" s="20" t="s">
        <v>179</v>
      </c>
      <c r="DU68" s="20" t="s">
        <v>180</v>
      </c>
      <c r="DV68" s="20" t="s">
        <v>181</v>
      </c>
      <c r="DW68" s="20" t="s">
        <v>182</v>
      </c>
      <c r="DX68" s="20" t="s">
        <v>183</v>
      </c>
      <c r="DY68" s="20" t="s">
        <v>184</v>
      </c>
      <c r="DZ68" s="20" t="s">
        <v>185</v>
      </c>
      <c r="EA68" s="20" t="s">
        <v>186</v>
      </c>
      <c r="EB68" s="20" t="s">
        <v>187</v>
      </c>
      <c r="EC68" s="20" t="s">
        <v>188</v>
      </c>
      <c r="ED68" s="20" t="s">
        <v>189</v>
      </c>
      <c r="EE68" s="20" t="s">
        <v>190</v>
      </c>
      <c r="EF68" s="20" t="s">
        <v>191</v>
      </c>
      <c r="EG68" s="20" t="s">
        <v>192</v>
      </c>
      <c r="EH68" s="20" t="s">
        <v>193</v>
      </c>
      <c r="EI68" s="20" t="s">
        <v>194</v>
      </c>
      <c r="EJ68" s="20" t="s">
        <v>195</v>
      </c>
      <c r="EK68" s="20" t="s">
        <v>196</v>
      </c>
      <c r="EL68" s="20" t="s">
        <v>197</v>
      </c>
      <c r="EM68" s="20" t="s">
        <v>198</v>
      </c>
      <c r="EN68" s="20" t="s">
        <v>199</v>
      </c>
      <c r="EO68" s="20" t="s">
        <v>200</v>
      </c>
      <c r="EP68" s="20" t="s">
        <v>201</v>
      </c>
      <c r="EQ68" s="20" t="s">
        <v>202</v>
      </c>
      <c r="ER68" s="20" t="s">
        <v>203</v>
      </c>
      <c r="ES68" s="20" t="s">
        <v>204</v>
      </c>
      <c r="ET68" s="20" t="s">
        <v>205</v>
      </c>
      <c r="EU68" s="20" t="s">
        <v>206</v>
      </c>
      <c r="EV68" s="20" t="s">
        <v>207</v>
      </c>
      <c r="EW68" s="20" t="s">
        <v>208</v>
      </c>
      <c r="EX68" s="20" t="s">
        <v>209</v>
      </c>
      <c r="EY68" s="20" t="s">
        <v>210</v>
      </c>
      <c r="EZ68" s="20" t="s">
        <v>211</v>
      </c>
      <c r="FA68" s="20" t="s">
        <v>212</v>
      </c>
      <c r="FB68" s="20" t="s">
        <v>213</v>
      </c>
      <c r="FC68" s="20" t="s">
        <v>214</v>
      </c>
      <c r="FD68" s="20" t="s">
        <v>215</v>
      </c>
      <c r="FE68" s="20" t="s">
        <v>216</v>
      </c>
      <c r="FF68" s="20" t="s">
        <v>217</v>
      </c>
      <c r="FG68" s="20" t="s">
        <v>218</v>
      </c>
      <c r="FH68" s="20" t="s">
        <v>219</v>
      </c>
      <c r="FI68" s="20" t="s">
        <v>220</v>
      </c>
      <c r="FJ68" s="20" t="s">
        <v>221</v>
      </c>
      <c r="FK68" s="20" t="s">
        <v>222</v>
      </c>
      <c r="FL68" s="20" t="s">
        <v>223</v>
      </c>
      <c r="FM68" s="20" t="s">
        <v>224</v>
      </c>
      <c r="FN68" s="20" t="s">
        <v>225</v>
      </c>
      <c r="FO68" s="20" t="s">
        <v>226</v>
      </c>
      <c r="FP68" s="20" t="s">
        <v>227</v>
      </c>
      <c r="FQ68" s="20" t="s">
        <v>228</v>
      </c>
      <c r="FR68" s="20" t="s">
        <v>229</v>
      </c>
      <c r="FS68" s="20" t="s">
        <v>230</v>
      </c>
      <c r="FT68" s="20" t="s">
        <v>231</v>
      </c>
      <c r="FU68" s="20" t="s">
        <v>232</v>
      </c>
      <c r="FV68" s="20" t="s">
        <v>233</v>
      </c>
      <c r="FW68" s="20" t="s">
        <v>234</v>
      </c>
      <c r="FX68" s="20" t="s">
        <v>235</v>
      </c>
      <c r="FY68" s="20" t="s">
        <v>236</v>
      </c>
      <c r="FZ68" s="20" t="s">
        <v>237</v>
      </c>
      <c r="GA68" s="20" t="s">
        <v>238</v>
      </c>
      <c r="GB68" s="20" t="s">
        <v>239</v>
      </c>
      <c r="GC68" s="20" t="s">
        <v>240</v>
      </c>
      <c r="GD68" s="20" t="s">
        <v>241</v>
      </c>
      <c r="GE68" s="20" t="s">
        <v>242</v>
      </c>
      <c r="GF68" s="20" t="s">
        <v>243</v>
      </c>
      <c r="GG68" s="20" t="s">
        <v>244</v>
      </c>
      <c r="GH68" s="20" t="s">
        <v>245</v>
      </c>
      <c r="GI68" s="20" t="s">
        <v>246</v>
      </c>
      <c r="GJ68" s="20" t="s">
        <v>247</v>
      </c>
      <c r="GK68" s="20" t="s">
        <v>248</v>
      </c>
      <c r="GL68" s="20" t="s">
        <v>249</v>
      </c>
      <c r="GM68" s="20" t="s">
        <v>250</v>
      </c>
      <c r="GN68" s="20" t="s">
        <v>251</v>
      </c>
      <c r="GO68" s="20" t="s">
        <v>252</v>
      </c>
      <c r="GP68" s="20" t="s">
        <v>253</v>
      </c>
      <c r="GQ68" s="20" t="s">
        <v>254</v>
      </c>
      <c r="GR68" s="20" t="s">
        <v>255</v>
      </c>
      <c r="GS68" s="20" t="s">
        <v>256</v>
      </c>
      <c r="GT68" s="20" t="s">
        <v>257</v>
      </c>
      <c r="GU68" s="20" t="s">
        <v>258</v>
      </c>
      <c r="GV68" s="20" t="s">
        <v>259</v>
      </c>
      <c r="GW68" s="20" t="s">
        <v>260</v>
      </c>
      <c r="GX68" s="20" t="s">
        <v>261</v>
      </c>
      <c r="GY68" s="20" t="s">
        <v>262</v>
      </c>
      <c r="GZ68" s="20" t="s">
        <v>263</v>
      </c>
      <c r="HA68" s="20" t="s">
        <v>264</v>
      </c>
      <c r="HB68" s="20" t="s">
        <v>265</v>
      </c>
      <c r="HC68" s="20" t="s">
        <v>266</v>
      </c>
      <c r="HD68" s="20" t="s">
        <v>267</v>
      </c>
      <c r="HE68" s="20" t="s">
        <v>268</v>
      </c>
      <c r="HF68" s="20" t="s">
        <v>269</v>
      </c>
      <c r="HG68" s="20" t="s">
        <v>270</v>
      </c>
      <c r="HH68" s="20" t="s">
        <v>271</v>
      </c>
      <c r="HI68" s="20" t="s">
        <v>272</v>
      </c>
      <c r="HJ68" s="20" t="s">
        <v>273</v>
      </c>
      <c r="HK68" s="20" t="s">
        <v>274</v>
      </c>
      <c r="HL68" s="20" t="s">
        <v>275</v>
      </c>
      <c r="HM68" s="20" t="s">
        <v>276</v>
      </c>
      <c r="HN68" s="20" t="s">
        <v>277</v>
      </c>
      <c r="HO68" s="20" t="s">
        <v>278</v>
      </c>
      <c r="HP68" s="20" t="s">
        <v>279</v>
      </c>
      <c r="HQ68" s="20" t="s">
        <v>280</v>
      </c>
      <c r="HR68" s="20" t="s">
        <v>281</v>
      </c>
      <c r="HS68" s="20" t="s">
        <v>282</v>
      </c>
      <c r="HT68" s="20" t="s">
        <v>283</v>
      </c>
      <c r="HU68" s="20" t="s">
        <v>284</v>
      </c>
      <c r="HV68" s="20" t="s">
        <v>285</v>
      </c>
      <c r="HW68" s="20" t="s">
        <v>286</v>
      </c>
      <c r="HX68" s="20" t="s">
        <v>287</v>
      </c>
      <c r="HY68" s="20" t="s">
        <v>288</v>
      </c>
      <c r="HZ68" s="20" t="s">
        <v>289</v>
      </c>
      <c r="IA68" s="20" t="s">
        <v>290</v>
      </c>
      <c r="ID68" s="22" t="s">
        <v>291</v>
      </c>
      <c r="IE68" s="22">
        <f>15*219*300</f>
        <v>985500</v>
      </c>
    </row>
    <row r="69" spans="5:239">
      <c r="E69" s="3" t="s">
        <v>0</v>
      </c>
      <c r="F69" s="3" t="s">
        <v>1</v>
      </c>
      <c r="G69" s="3" t="s">
        <v>2</v>
      </c>
      <c r="H69" s="3" t="s">
        <v>3</v>
      </c>
      <c r="I69" s="3" t="s">
        <v>4</v>
      </c>
      <c r="J69" s="4" t="s">
        <v>5</v>
      </c>
      <c r="K69" s="5" t="s">
        <v>6</v>
      </c>
      <c r="L69" s="6" t="s">
        <v>7</v>
      </c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D69" s="22" t="s">
        <v>292</v>
      </c>
      <c r="IE69" s="22">
        <f>IE68+(IE68*20/100)</f>
        <v>1182600</v>
      </c>
    </row>
    <row r="70" spans="5:239">
      <c r="E70" s="8" t="s">
        <v>9</v>
      </c>
      <c r="F70" s="9" t="s">
        <v>10</v>
      </c>
      <c r="G70" s="9" t="s">
        <v>11</v>
      </c>
      <c r="H70" s="9">
        <v>10</v>
      </c>
      <c r="I70" s="9" t="s">
        <v>12</v>
      </c>
      <c r="J70" s="10">
        <v>2</v>
      </c>
      <c r="K70" s="5">
        <f>L93-L91</f>
        <v>0</v>
      </c>
      <c r="L70" s="6">
        <v>0</v>
      </c>
      <c r="Q70" s="20">
        <v>2</v>
      </c>
      <c r="R70" s="20">
        <v>2</v>
      </c>
      <c r="S70" s="20">
        <v>2</v>
      </c>
      <c r="T70" s="20">
        <v>2</v>
      </c>
      <c r="U70" s="20">
        <v>2</v>
      </c>
      <c r="V70" s="20">
        <v>2</v>
      </c>
      <c r="W70" s="20">
        <v>2</v>
      </c>
      <c r="X70" s="20">
        <v>2</v>
      </c>
      <c r="Y70" s="20">
        <v>2</v>
      </c>
      <c r="Z70" s="20">
        <v>2</v>
      </c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D70" s="22" t="s">
        <v>293</v>
      </c>
      <c r="IE70" s="22">
        <f>IE69-IE68</f>
        <v>197100</v>
      </c>
    </row>
    <row r="71" spans="5:239">
      <c r="E71" s="8" t="s">
        <v>14</v>
      </c>
      <c r="F71" s="9" t="s">
        <v>15</v>
      </c>
      <c r="G71" s="9" t="s">
        <v>16</v>
      </c>
      <c r="H71" s="9">
        <v>10</v>
      </c>
      <c r="I71" s="9" t="s">
        <v>9</v>
      </c>
      <c r="J71" s="10">
        <v>5</v>
      </c>
      <c r="K71" s="5">
        <f>P93-P91</f>
        <v>0</v>
      </c>
      <c r="L71" s="6">
        <v>0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>
        <v>5</v>
      </c>
      <c r="AB71" s="20">
        <v>5</v>
      </c>
      <c r="AC71" s="20">
        <v>5</v>
      </c>
      <c r="AD71" s="20">
        <v>5</v>
      </c>
      <c r="AE71" s="20">
        <v>5</v>
      </c>
      <c r="AF71" s="20">
        <v>5</v>
      </c>
      <c r="AG71" s="20">
        <v>5</v>
      </c>
      <c r="AH71" s="20">
        <v>5</v>
      </c>
      <c r="AI71" s="20">
        <v>5</v>
      </c>
      <c r="AJ71" s="20">
        <v>5</v>
      </c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</row>
    <row r="72" spans="5:239">
      <c r="E72" s="8" t="s">
        <v>17</v>
      </c>
      <c r="F72" s="9" t="s">
        <v>18</v>
      </c>
      <c r="G72" s="9" t="s">
        <v>19</v>
      </c>
      <c r="H72" s="9">
        <v>25</v>
      </c>
      <c r="I72" s="9" t="s">
        <v>14</v>
      </c>
      <c r="J72" s="10">
        <v>4</v>
      </c>
      <c r="K72" s="5">
        <f>T93-T91</f>
        <v>0</v>
      </c>
      <c r="L72" s="6">
        <v>0</v>
      </c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>
        <v>4</v>
      </c>
      <c r="AL72" s="20">
        <v>4</v>
      </c>
      <c r="AM72" s="20">
        <v>4</v>
      </c>
      <c r="AN72" s="20">
        <v>4</v>
      </c>
      <c r="AO72" s="20">
        <v>4</v>
      </c>
      <c r="AP72" s="20">
        <v>4</v>
      </c>
      <c r="AQ72" s="20">
        <v>4</v>
      </c>
      <c r="AR72" s="20">
        <v>4</v>
      </c>
      <c r="AS72" s="20">
        <v>4</v>
      </c>
      <c r="AT72" s="20">
        <v>4</v>
      </c>
      <c r="AU72" s="20">
        <v>4</v>
      </c>
      <c r="AV72" s="20">
        <v>4</v>
      </c>
      <c r="AW72" s="20">
        <v>4</v>
      </c>
      <c r="AX72" s="20">
        <v>4</v>
      </c>
      <c r="AY72" s="20">
        <v>4</v>
      </c>
      <c r="AZ72" s="20">
        <v>4</v>
      </c>
      <c r="BA72" s="20">
        <v>4</v>
      </c>
      <c r="BB72" s="20">
        <v>4</v>
      </c>
      <c r="BC72" s="20">
        <v>4</v>
      </c>
      <c r="BD72" s="20">
        <v>4</v>
      </c>
      <c r="BE72" s="20">
        <v>4</v>
      </c>
      <c r="BF72" s="20">
        <v>4</v>
      </c>
      <c r="BG72" s="20">
        <v>4</v>
      </c>
      <c r="BH72" s="20">
        <v>4</v>
      </c>
      <c r="BI72" s="20">
        <v>4</v>
      </c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</row>
    <row r="73" spans="5:239">
      <c r="E73" s="9" t="s">
        <v>20</v>
      </c>
      <c r="F73" s="9" t="s">
        <v>21</v>
      </c>
      <c r="G73" s="9" t="s">
        <v>22</v>
      </c>
      <c r="H73" s="9">
        <v>31</v>
      </c>
      <c r="I73" s="9" t="s">
        <v>17</v>
      </c>
      <c r="J73" s="10">
        <v>3</v>
      </c>
      <c r="K73" s="5">
        <f>X88-X86</f>
        <v>0</v>
      </c>
      <c r="L73" s="6">
        <v>0</v>
      </c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>
        <v>3</v>
      </c>
      <c r="BK73" s="20">
        <v>3</v>
      </c>
      <c r="BL73" s="20">
        <v>3</v>
      </c>
      <c r="BM73" s="20">
        <v>3</v>
      </c>
      <c r="BN73" s="20">
        <v>3</v>
      </c>
      <c r="BO73" s="20">
        <v>3</v>
      </c>
      <c r="BP73" s="20">
        <v>3</v>
      </c>
      <c r="BQ73" s="20">
        <v>3</v>
      </c>
      <c r="BR73" s="20">
        <v>3</v>
      </c>
      <c r="BS73" s="20">
        <v>3</v>
      </c>
      <c r="BT73" s="20">
        <v>3</v>
      </c>
      <c r="BU73" s="20">
        <v>3</v>
      </c>
      <c r="BV73" s="20">
        <v>3</v>
      </c>
      <c r="BW73" s="20">
        <v>3</v>
      </c>
      <c r="BX73" s="20">
        <v>3</v>
      </c>
      <c r="BY73" s="20">
        <v>3</v>
      </c>
      <c r="BZ73" s="20">
        <v>3</v>
      </c>
      <c r="CA73" s="20">
        <v>3</v>
      </c>
      <c r="CB73" s="20">
        <v>3</v>
      </c>
      <c r="CC73" s="20">
        <v>3</v>
      </c>
      <c r="CD73" s="20">
        <v>3</v>
      </c>
      <c r="CE73" s="20">
        <v>3</v>
      </c>
      <c r="CF73" s="20">
        <v>3</v>
      </c>
      <c r="CG73" s="20">
        <v>3</v>
      </c>
      <c r="CH73" s="20">
        <v>3</v>
      </c>
      <c r="CI73" s="20">
        <v>3</v>
      </c>
      <c r="CJ73" s="20">
        <v>3</v>
      </c>
      <c r="CK73" s="20">
        <v>3</v>
      </c>
      <c r="CL73" s="20">
        <v>3</v>
      </c>
      <c r="CM73" s="20">
        <v>3</v>
      </c>
      <c r="CN73" s="20">
        <v>3</v>
      </c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</row>
    <row r="74" spans="5:239">
      <c r="E74" s="9" t="s">
        <v>23</v>
      </c>
      <c r="F74" s="9" t="s">
        <v>24</v>
      </c>
      <c r="G74" s="9" t="s">
        <v>25</v>
      </c>
      <c r="H74" s="9">
        <v>15</v>
      </c>
      <c r="I74" s="9" t="s">
        <v>17</v>
      </c>
      <c r="J74" s="10">
        <v>6</v>
      </c>
      <c r="K74" s="5">
        <f>X93-X91</f>
        <v>0</v>
      </c>
      <c r="L74" s="6">
        <v>77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>
        <v>6</v>
      </c>
      <c r="BK74" s="20">
        <v>6</v>
      </c>
      <c r="BL74" s="20">
        <v>6</v>
      </c>
      <c r="BM74" s="20">
        <v>6</v>
      </c>
      <c r="BN74" s="20">
        <v>6</v>
      </c>
      <c r="BO74" s="20">
        <v>6</v>
      </c>
      <c r="BP74" s="20">
        <v>6</v>
      </c>
      <c r="BQ74" s="20">
        <v>6</v>
      </c>
      <c r="BR74" s="20">
        <v>6</v>
      </c>
      <c r="BS74" s="20">
        <v>6</v>
      </c>
      <c r="BT74" s="20">
        <v>6</v>
      </c>
      <c r="BU74" s="20">
        <v>6</v>
      </c>
      <c r="BV74" s="20">
        <v>6</v>
      </c>
      <c r="BW74" s="20">
        <v>6</v>
      </c>
      <c r="BX74" s="20">
        <v>6</v>
      </c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</row>
    <row r="75" spans="5:239">
      <c r="E75" s="8" t="s">
        <v>26</v>
      </c>
      <c r="F75" s="9" t="s">
        <v>27</v>
      </c>
      <c r="G75" s="9" t="s">
        <v>28</v>
      </c>
      <c r="H75" s="9">
        <v>46</v>
      </c>
      <c r="I75" s="9" t="s">
        <v>17</v>
      </c>
      <c r="J75" s="10">
        <v>3</v>
      </c>
      <c r="K75" s="5" t="e">
        <f>X98-X96</f>
        <v>#VALUE!</v>
      </c>
      <c r="L75" s="6">
        <v>0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>
        <v>3</v>
      </c>
      <c r="BK75" s="20">
        <v>3</v>
      </c>
      <c r="BL75" s="20">
        <v>3</v>
      </c>
      <c r="BM75" s="20">
        <v>3</v>
      </c>
      <c r="BN75" s="20">
        <v>3</v>
      </c>
      <c r="BO75" s="20">
        <v>3</v>
      </c>
      <c r="BP75" s="20">
        <v>3</v>
      </c>
      <c r="BQ75" s="20">
        <v>3</v>
      </c>
      <c r="BR75" s="20">
        <v>3</v>
      </c>
      <c r="BS75" s="20">
        <v>3</v>
      </c>
      <c r="BT75" s="20">
        <v>3</v>
      </c>
      <c r="BU75" s="20">
        <v>3</v>
      </c>
      <c r="BV75" s="20">
        <v>3</v>
      </c>
      <c r="BW75" s="20">
        <v>3</v>
      </c>
      <c r="BX75" s="20">
        <v>3</v>
      </c>
      <c r="BY75" s="20">
        <v>3</v>
      </c>
      <c r="BZ75" s="20">
        <v>3</v>
      </c>
      <c r="CA75" s="20">
        <v>3</v>
      </c>
      <c r="CB75" s="20">
        <v>3</v>
      </c>
      <c r="CC75" s="20">
        <v>3</v>
      </c>
      <c r="CD75" s="20">
        <v>3</v>
      </c>
      <c r="CE75" s="20">
        <v>3</v>
      </c>
      <c r="CF75" s="20">
        <v>3</v>
      </c>
      <c r="CG75" s="20">
        <v>3</v>
      </c>
      <c r="CH75" s="20">
        <v>3</v>
      </c>
      <c r="CI75" s="20">
        <v>3</v>
      </c>
      <c r="CJ75" s="20">
        <v>3</v>
      </c>
      <c r="CK75" s="20">
        <v>3</v>
      </c>
      <c r="CL75" s="20">
        <v>3</v>
      </c>
      <c r="CM75" s="20">
        <v>3</v>
      </c>
      <c r="CN75" s="20">
        <v>3</v>
      </c>
      <c r="CO75" s="20">
        <v>3</v>
      </c>
      <c r="CP75" s="20">
        <v>3</v>
      </c>
      <c r="CQ75" s="20">
        <v>3</v>
      </c>
      <c r="CR75" s="20">
        <v>3</v>
      </c>
      <c r="CS75" s="20">
        <v>3</v>
      </c>
      <c r="CT75" s="20">
        <v>3</v>
      </c>
      <c r="CU75" s="20">
        <v>3</v>
      </c>
      <c r="CV75" s="20">
        <v>3</v>
      </c>
      <c r="CW75" s="20">
        <v>3</v>
      </c>
      <c r="CX75" s="20">
        <v>3</v>
      </c>
      <c r="CY75" s="20">
        <v>3</v>
      </c>
      <c r="CZ75" s="20">
        <v>3</v>
      </c>
      <c r="DA75" s="20">
        <v>3</v>
      </c>
      <c r="DB75" s="20">
        <v>3</v>
      </c>
      <c r="DC75" s="20">
        <v>3</v>
      </c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</row>
    <row r="76" spans="5:239">
      <c r="E76" s="8" t="s">
        <v>29</v>
      </c>
      <c r="F76" s="9" t="s">
        <v>30</v>
      </c>
      <c r="G76" s="9" t="s">
        <v>31</v>
      </c>
      <c r="H76" s="9">
        <v>46</v>
      </c>
      <c r="I76" s="9" t="s">
        <v>26</v>
      </c>
      <c r="J76" s="10">
        <v>2</v>
      </c>
      <c r="K76" s="5" t="e">
        <f>AB98-AB96</f>
        <v>#VALUE!</v>
      </c>
      <c r="L76" s="6">
        <v>0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>
        <v>2</v>
      </c>
      <c r="DE76" s="20">
        <v>2</v>
      </c>
      <c r="DF76" s="20">
        <v>2</v>
      </c>
      <c r="DG76" s="20">
        <v>2</v>
      </c>
      <c r="DH76" s="20">
        <v>2</v>
      </c>
      <c r="DI76" s="20">
        <v>2</v>
      </c>
      <c r="DJ76" s="20">
        <v>2</v>
      </c>
      <c r="DK76" s="20">
        <v>2</v>
      </c>
      <c r="DL76" s="20">
        <v>2</v>
      </c>
      <c r="DM76" s="20">
        <v>2</v>
      </c>
      <c r="DN76" s="20">
        <v>2</v>
      </c>
      <c r="DO76" s="20">
        <v>2</v>
      </c>
      <c r="DP76" s="20">
        <v>2</v>
      </c>
      <c r="DQ76" s="20">
        <v>2</v>
      </c>
      <c r="DR76" s="20">
        <v>2</v>
      </c>
      <c r="DS76" s="20">
        <v>2</v>
      </c>
      <c r="DT76" s="20">
        <v>2</v>
      </c>
      <c r="DU76" s="20">
        <v>2</v>
      </c>
      <c r="DV76" s="20">
        <v>2</v>
      </c>
      <c r="DW76" s="20">
        <v>2</v>
      </c>
      <c r="DX76" s="20">
        <v>2</v>
      </c>
      <c r="DY76" s="20">
        <v>2</v>
      </c>
      <c r="DZ76" s="20">
        <v>2</v>
      </c>
      <c r="EA76" s="20">
        <v>2</v>
      </c>
      <c r="EB76" s="20">
        <v>2</v>
      </c>
      <c r="EC76" s="20">
        <v>2</v>
      </c>
      <c r="ED76" s="20">
        <v>2</v>
      </c>
      <c r="EE76" s="20">
        <v>2</v>
      </c>
      <c r="EF76" s="20">
        <v>2</v>
      </c>
      <c r="EG76" s="20">
        <v>2</v>
      </c>
      <c r="EH76" s="20">
        <v>2</v>
      </c>
      <c r="EI76" s="20">
        <v>2</v>
      </c>
      <c r="EJ76" s="20">
        <v>2</v>
      </c>
      <c r="EK76" s="20">
        <v>2</v>
      </c>
      <c r="EL76" s="20">
        <v>2</v>
      </c>
      <c r="EM76" s="20">
        <v>2</v>
      </c>
      <c r="EN76" s="20">
        <v>2</v>
      </c>
      <c r="EO76" s="20">
        <v>2</v>
      </c>
      <c r="EP76" s="20">
        <v>2</v>
      </c>
      <c r="EQ76" s="20">
        <v>2</v>
      </c>
      <c r="ER76" s="20">
        <v>2</v>
      </c>
      <c r="ES76" s="20">
        <v>2</v>
      </c>
      <c r="ET76" s="20">
        <v>2</v>
      </c>
      <c r="EU76" s="20">
        <v>2</v>
      </c>
      <c r="EV76" s="20">
        <v>2</v>
      </c>
      <c r="EW76" s="20">
        <v>2</v>
      </c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</row>
    <row r="77" spans="5:239">
      <c r="E77" s="9" t="s">
        <v>32</v>
      </c>
      <c r="F77" s="9" t="s">
        <v>33</v>
      </c>
      <c r="G77" s="9" t="s">
        <v>34</v>
      </c>
      <c r="H77" s="9">
        <v>31</v>
      </c>
      <c r="I77" s="9" t="s">
        <v>35</v>
      </c>
      <c r="J77" s="10">
        <v>4</v>
      </c>
      <c r="K77" s="5" t="e">
        <f>AF98-AF96</f>
        <v>#VALUE!</v>
      </c>
      <c r="L77" s="6">
        <v>15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>
        <v>4</v>
      </c>
      <c r="EY77" s="20">
        <v>4</v>
      </c>
      <c r="EZ77" s="20">
        <v>4</v>
      </c>
      <c r="FA77" s="20">
        <v>4</v>
      </c>
      <c r="FB77" s="20">
        <v>4</v>
      </c>
      <c r="FC77" s="20">
        <v>4</v>
      </c>
      <c r="FD77" s="20">
        <v>4</v>
      </c>
      <c r="FE77" s="20">
        <v>4</v>
      </c>
      <c r="FF77" s="20">
        <v>4</v>
      </c>
      <c r="FG77" s="20">
        <v>4</v>
      </c>
      <c r="FH77" s="20">
        <v>4</v>
      </c>
      <c r="FI77" s="20">
        <v>4</v>
      </c>
      <c r="FJ77" s="20">
        <v>4</v>
      </c>
      <c r="FK77" s="20">
        <v>4</v>
      </c>
      <c r="FL77" s="20">
        <v>4</v>
      </c>
      <c r="FM77" s="20">
        <v>4</v>
      </c>
      <c r="FN77" s="20">
        <v>4</v>
      </c>
      <c r="FO77" s="20">
        <v>4</v>
      </c>
      <c r="FP77" s="20">
        <v>4</v>
      </c>
      <c r="FQ77" s="20">
        <v>4</v>
      </c>
      <c r="FR77" s="20">
        <v>4</v>
      </c>
      <c r="FS77" s="20">
        <v>4</v>
      </c>
      <c r="FT77" s="20">
        <v>4</v>
      </c>
      <c r="FU77" s="20">
        <v>4</v>
      </c>
      <c r="FV77" s="20">
        <v>4</v>
      </c>
      <c r="FW77" s="20">
        <v>4</v>
      </c>
      <c r="FX77" s="20">
        <v>4</v>
      </c>
      <c r="FY77" s="20">
        <v>4</v>
      </c>
      <c r="FZ77" s="20">
        <v>4</v>
      </c>
      <c r="GA77" s="20">
        <v>4</v>
      </c>
      <c r="GB77" s="20">
        <v>4</v>
      </c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</row>
    <row r="78" spans="5:239">
      <c r="E78" s="9" t="s">
        <v>36</v>
      </c>
      <c r="F78" s="9" t="s">
        <v>37</v>
      </c>
      <c r="G78" s="9" t="s">
        <v>38</v>
      </c>
      <c r="H78" s="9">
        <v>123</v>
      </c>
      <c r="I78" s="9" t="s">
        <v>9</v>
      </c>
      <c r="J78" s="10">
        <v>3</v>
      </c>
      <c r="K78" s="5">
        <f>O100-O98</f>
        <v>0</v>
      </c>
      <c r="L78" s="6">
        <v>65</v>
      </c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>
        <v>3</v>
      </c>
      <c r="AB78" s="20">
        <v>3</v>
      </c>
      <c r="AC78" s="20">
        <v>3</v>
      </c>
      <c r="AD78" s="20">
        <v>3</v>
      </c>
      <c r="AE78" s="20">
        <v>3</v>
      </c>
      <c r="AF78" s="20">
        <v>3</v>
      </c>
      <c r="AG78" s="20">
        <v>3</v>
      </c>
      <c r="AH78" s="20">
        <v>3</v>
      </c>
      <c r="AI78" s="20">
        <v>3</v>
      </c>
      <c r="AJ78" s="20">
        <v>3</v>
      </c>
      <c r="AK78" s="20">
        <v>3</v>
      </c>
      <c r="AL78" s="20">
        <v>3</v>
      </c>
      <c r="AM78" s="20">
        <v>3</v>
      </c>
      <c r="AN78" s="20">
        <v>3</v>
      </c>
      <c r="AO78" s="20">
        <v>3</v>
      </c>
      <c r="AP78" s="20">
        <v>3</v>
      </c>
      <c r="AQ78" s="20">
        <v>3</v>
      </c>
      <c r="AR78" s="20">
        <v>3</v>
      </c>
      <c r="AS78" s="20">
        <v>3</v>
      </c>
      <c r="AT78" s="20">
        <v>3</v>
      </c>
      <c r="AU78" s="20">
        <v>3</v>
      </c>
      <c r="AV78" s="20">
        <v>3</v>
      </c>
      <c r="AW78" s="20">
        <v>3</v>
      </c>
      <c r="AX78" s="20">
        <v>3</v>
      </c>
      <c r="AY78" s="20">
        <v>3</v>
      </c>
      <c r="AZ78" s="20">
        <v>3</v>
      </c>
      <c r="BA78" s="20">
        <v>3</v>
      </c>
      <c r="BB78" s="20">
        <v>3</v>
      </c>
      <c r="BC78" s="20">
        <v>3</v>
      </c>
      <c r="BD78" s="20">
        <v>3</v>
      </c>
      <c r="BE78" s="20">
        <v>3</v>
      </c>
      <c r="BF78" s="20">
        <v>3</v>
      </c>
      <c r="BG78" s="20">
        <v>3</v>
      </c>
      <c r="BH78" s="20">
        <v>3</v>
      </c>
      <c r="BI78" s="20">
        <v>3</v>
      </c>
      <c r="BJ78" s="20">
        <v>3</v>
      </c>
      <c r="BK78" s="20">
        <v>3</v>
      </c>
      <c r="BL78" s="20">
        <v>3</v>
      </c>
      <c r="BM78" s="20">
        <v>3</v>
      </c>
      <c r="BN78" s="20">
        <v>3</v>
      </c>
      <c r="BO78" s="20">
        <v>3</v>
      </c>
      <c r="BP78" s="20">
        <v>3</v>
      </c>
      <c r="BQ78" s="20">
        <v>3</v>
      </c>
      <c r="BR78" s="20">
        <v>3</v>
      </c>
      <c r="BS78" s="20">
        <v>3</v>
      </c>
      <c r="BT78" s="20">
        <v>3</v>
      </c>
      <c r="BU78" s="20">
        <v>3</v>
      </c>
      <c r="BV78" s="20">
        <v>3</v>
      </c>
      <c r="BW78" s="20">
        <v>3</v>
      </c>
      <c r="BX78" s="20">
        <v>3</v>
      </c>
      <c r="BY78" s="20">
        <v>3</v>
      </c>
      <c r="BZ78" s="20">
        <v>3</v>
      </c>
      <c r="CA78" s="20">
        <v>3</v>
      </c>
      <c r="CB78" s="20">
        <v>3</v>
      </c>
      <c r="CC78" s="20">
        <v>3</v>
      </c>
      <c r="CD78" s="20">
        <v>3</v>
      </c>
      <c r="CE78" s="20">
        <v>3</v>
      </c>
      <c r="CF78" s="20">
        <v>3</v>
      </c>
      <c r="CG78" s="20">
        <v>3</v>
      </c>
      <c r="CH78" s="20">
        <v>3</v>
      </c>
      <c r="CI78" s="20">
        <v>3</v>
      </c>
      <c r="CJ78" s="20">
        <v>3</v>
      </c>
      <c r="CK78" s="20">
        <v>3</v>
      </c>
      <c r="CL78" s="20">
        <v>3</v>
      </c>
      <c r="CM78" s="20">
        <v>3</v>
      </c>
      <c r="CN78" s="20">
        <v>3</v>
      </c>
      <c r="CO78" s="20">
        <v>3</v>
      </c>
      <c r="CP78" s="20">
        <v>3</v>
      </c>
      <c r="CQ78" s="20">
        <v>3</v>
      </c>
      <c r="CR78" s="20">
        <v>3</v>
      </c>
      <c r="CS78" s="20">
        <v>3</v>
      </c>
      <c r="CT78" s="20">
        <v>3</v>
      </c>
      <c r="CU78" s="20">
        <v>3</v>
      </c>
      <c r="CV78" s="20">
        <v>3</v>
      </c>
      <c r="CW78" s="20">
        <v>3</v>
      </c>
      <c r="CX78" s="20">
        <v>3</v>
      </c>
      <c r="CY78" s="20">
        <v>3</v>
      </c>
      <c r="CZ78" s="20">
        <v>3</v>
      </c>
      <c r="DA78" s="20">
        <v>3</v>
      </c>
      <c r="DB78" s="20">
        <v>3</v>
      </c>
      <c r="DC78" s="20">
        <v>3</v>
      </c>
      <c r="DD78" s="20">
        <v>3</v>
      </c>
      <c r="DE78" s="20">
        <v>3</v>
      </c>
      <c r="DF78" s="20">
        <v>3</v>
      </c>
      <c r="DG78" s="20">
        <v>3</v>
      </c>
      <c r="DH78" s="20">
        <v>3</v>
      </c>
      <c r="DI78" s="20">
        <v>3</v>
      </c>
      <c r="DJ78" s="20">
        <v>3</v>
      </c>
      <c r="DK78" s="20">
        <v>3</v>
      </c>
      <c r="DL78" s="20">
        <v>3</v>
      </c>
      <c r="DM78" s="20">
        <v>3</v>
      </c>
      <c r="DN78" s="20">
        <v>3</v>
      </c>
      <c r="DO78" s="20">
        <v>3</v>
      </c>
      <c r="DP78" s="20">
        <v>3</v>
      </c>
      <c r="DQ78" s="20">
        <v>3</v>
      </c>
      <c r="DR78" s="20">
        <v>3</v>
      </c>
      <c r="DS78" s="20">
        <v>3</v>
      </c>
      <c r="DT78" s="20">
        <v>3</v>
      </c>
      <c r="DU78" s="20">
        <v>3</v>
      </c>
      <c r="DV78" s="20">
        <v>3</v>
      </c>
      <c r="DW78" s="20">
        <v>3</v>
      </c>
      <c r="DX78" s="20">
        <v>3</v>
      </c>
      <c r="DY78" s="20">
        <v>3</v>
      </c>
      <c r="DZ78" s="20">
        <v>3</v>
      </c>
      <c r="EA78" s="20">
        <v>3</v>
      </c>
      <c r="EB78" s="20">
        <v>3</v>
      </c>
      <c r="EC78" s="20">
        <v>3</v>
      </c>
      <c r="ED78" s="20">
        <v>3</v>
      </c>
      <c r="EE78" s="20">
        <v>3</v>
      </c>
      <c r="EF78" s="20">
        <v>3</v>
      </c>
      <c r="EG78" s="20">
        <v>3</v>
      </c>
      <c r="EH78" s="20">
        <v>3</v>
      </c>
      <c r="EI78" s="20">
        <v>3</v>
      </c>
      <c r="EJ78" s="20">
        <v>3</v>
      </c>
      <c r="EK78" s="20">
        <v>3</v>
      </c>
      <c r="EL78" s="20">
        <v>3</v>
      </c>
      <c r="EM78" s="20">
        <v>3</v>
      </c>
      <c r="EN78" s="20">
        <v>3</v>
      </c>
      <c r="EO78" s="20">
        <v>3</v>
      </c>
      <c r="EP78" s="20">
        <v>3</v>
      </c>
      <c r="EQ78" s="20">
        <v>3</v>
      </c>
      <c r="ER78" s="20">
        <v>3</v>
      </c>
      <c r="ES78" s="20">
        <v>3</v>
      </c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</row>
    <row r="79" spans="5:239">
      <c r="E79" s="8" t="s">
        <v>39</v>
      </c>
      <c r="F79" s="9" t="s">
        <v>40</v>
      </c>
      <c r="G79" s="9" t="s">
        <v>41</v>
      </c>
      <c r="H79" s="9">
        <v>46</v>
      </c>
      <c r="I79" s="9" t="s">
        <v>29</v>
      </c>
      <c r="J79" s="10">
        <v>3</v>
      </c>
      <c r="K79" s="5">
        <f>AF103-AF101</f>
        <v>0</v>
      </c>
      <c r="L79" s="6">
        <v>0</v>
      </c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>
        <v>3</v>
      </c>
      <c r="EY79" s="20">
        <v>3</v>
      </c>
      <c r="EZ79" s="20">
        <v>3</v>
      </c>
      <c r="FA79" s="20">
        <v>3</v>
      </c>
      <c r="FB79" s="20">
        <v>3</v>
      </c>
      <c r="FC79" s="20">
        <v>3</v>
      </c>
      <c r="FD79" s="20">
        <v>3</v>
      </c>
      <c r="FE79" s="20">
        <v>3</v>
      </c>
      <c r="FF79" s="20">
        <v>3</v>
      </c>
      <c r="FG79" s="20">
        <v>3</v>
      </c>
      <c r="FH79" s="20">
        <v>3</v>
      </c>
      <c r="FI79" s="20">
        <v>3</v>
      </c>
      <c r="FJ79" s="20">
        <v>3</v>
      </c>
      <c r="FK79" s="20">
        <v>3</v>
      </c>
      <c r="FL79" s="20">
        <v>3</v>
      </c>
      <c r="FM79" s="20">
        <v>3</v>
      </c>
      <c r="FN79" s="20">
        <v>3</v>
      </c>
      <c r="FO79" s="20">
        <v>3</v>
      </c>
      <c r="FP79" s="20">
        <v>3</v>
      </c>
      <c r="FQ79" s="20">
        <v>3</v>
      </c>
      <c r="FR79" s="20">
        <v>3</v>
      </c>
      <c r="FS79" s="20">
        <v>3</v>
      </c>
      <c r="FT79" s="20">
        <v>3</v>
      </c>
      <c r="FU79" s="20">
        <v>3</v>
      </c>
      <c r="FV79" s="20">
        <v>3</v>
      </c>
      <c r="FW79" s="20">
        <v>3</v>
      </c>
      <c r="FX79" s="20">
        <v>3</v>
      </c>
      <c r="FY79" s="20">
        <v>3</v>
      </c>
      <c r="FZ79" s="20">
        <v>3</v>
      </c>
      <c r="GA79" s="20">
        <v>3</v>
      </c>
      <c r="GB79" s="20">
        <v>3</v>
      </c>
      <c r="GC79" s="20">
        <v>3</v>
      </c>
      <c r="GD79" s="20">
        <v>3</v>
      </c>
      <c r="GE79" s="20">
        <v>3</v>
      </c>
      <c r="GF79" s="20">
        <v>3</v>
      </c>
      <c r="GG79" s="20">
        <v>3</v>
      </c>
      <c r="GH79" s="20">
        <v>3</v>
      </c>
      <c r="GI79" s="20">
        <v>3</v>
      </c>
      <c r="GJ79" s="20">
        <v>3</v>
      </c>
      <c r="GK79" s="20">
        <v>3</v>
      </c>
      <c r="GL79" s="20">
        <v>3</v>
      </c>
      <c r="GM79" s="20">
        <v>3</v>
      </c>
      <c r="GN79" s="20">
        <v>3</v>
      </c>
      <c r="GO79" s="20">
        <v>3</v>
      </c>
      <c r="GP79" s="20">
        <v>3</v>
      </c>
      <c r="GQ79" s="20">
        <v>3</v>
      </c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</row>
    <row r="80" spans="5:239">
      <c r="E80" s="8" t="s">
        <v>42</v>
      </c>
      <c r="F80" s="9" t="s">
        <v>43</v>
      </c>
      <c r="G80" s="9" t="s">
        <v>44</v>
      </c>
      <c r="H80" s="9">
        <v>15</v>
      </c>
      <c r="I80" s="9" t="s">
        <v>45</v>
      </c>
      <c r="J80" s="10">
        <v>2</v>
      </c>
      <c r="K80" s="5" t="e">
        <f>AJ100-AJ98</f>
        <v>#VALUE!</v>
      </c>
      <c r="L80" s="6">
        <v>0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>
        <v>2</v>
      </c>
      <c r="GS80" s="20">
        <v>2</v>
      </c>
      <c r="GT80" s="20">
        <v>2</v>
      </c>
      <c r="GU80" s="20">
        <v>2</v>
      </c>
      <c r="GV80" s="20">
        <v>2</v>
      </c>
      <c r="GW80" s="20">
        <v>2</v>
      </c>
      <c r="GX80" s="20">
        <v>2</v>
      </c>
      <c r="GY80" s="20">
        <v>2</v>
      </c>
      <c r="GZ80" s="20">
        <v>2</v>
      </c>
      <c r="HA80" s="20">
        <v>2</v>
      </c>
      <c r="HB80" s="20">
        <v>2</v>
      </c>
      <c r="HC80" s="20">
        <v>2</v>
      </c>
      <c r="HD80" s="20">
        <v>2</v>
      </c>
      <c r="HE80" s="20">
        <v>2</v>
      </c>
      <c r="HF80" s="20">
        <v>2</v>
      </c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</row>
    <row r="81" spans="5:236">
      <c r="E81" s="9" t="s">
        <v>46</v>
      </c>
      <c r="F81" s="9" t="s">
        <v>47</v>
      </c>
      <c r="G81" s="9" t="s">
        <v>48</v>
      </c>
      <c r="H81" s="9">
        <v>32</v>
      </c>
      <c r="I81" s="9" t="s">
        <v>39</v>
      </c>
      <c r="J81" s="10">
        <v>3</v>
      </c>
      <c r="K81" s="5">
        <f>AJ106-AJ104</f>
        <v>0</v>
      </c>
      <c r="L81" s="6">
        <v>0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>
        <v>3</v>
      </c>
      <c r="GS81" s="20">
        <v>3</v>
      </c>
      <c r="GT81" s="20">
        <v>3</v>
      </c>
      <c r="GU81" s="20">
        <v>3</v>
      </c>
      <c r="GV81" s="20">
        <v>3</v>
      </c>
      <c r="GW81" s="20">
        <v>3</v>
      </c>
      <c r="GX81" s="20">
        <v>3</v>
      </c>
      <c r="GY81" s="20">
        <v>3</v>
      </c>
      <c r="GZ81" s="20">
        <v>3</v>
      </c>
      <c r="HA81" s="20">
        <v>3</v>
      </c>
      <c r="HB81" s="20">
        <v>3</v>
      </c>
      <c r="HC81" s="20">
        <v>3</v>
      </c>
      <c r="HD81" s="20">
        <v>3</v>
      </c>
      <c r="HE81" s="20">
        <v>3</v>
      </c>
      <c r="HF81" s="20">
        <v>3</v>
      </c>
      <c r="HG81" s="20">
        <v>3</v>
      </c>
      <c r="HH81" s="20">
        <v>3</v>
      </c>
      <c r="HI81" s="20">
        <v>3</v>
      </c>
      <c r="HJ81" s="20">
        <v>3</v>
      </c>
      <c r="HK81" s="20">
        <v>3</v>
      </c>
      <c r="HL81" s="20">
        <v>3</v>
      </c>
      <c r="HM81" s="20">
        <v>3</v>
      </c>
      <c r="HN81" s="20">
        <v>3</v>
      </c>
      <c r="HO81" s="20">
        <v>3</v>
      </c>
      <c r="HP81" s="20">
        <v>3</v>
      </c>
      <c r="HQ81" s="20">
        <v>3</v>
      </c>
      <c r="HR81" s="20">
        <v>3</v>
      </c>
      <c r="HS81" s="20">
        <v>3</v>
      </c>
      <c r="HT81" s="20">
        <v>3</v>
      </c>
      <c r="HU81" s="20">
        <v>3</v>
      </c>
      <c r="HV81" s="20">
        <v>3</v>
      </c>
      <c r="HW81" s="20">
        <v>3</v>
      </c>
      <c r="HX81" s="20"/>
      <c r="HY81" s="20"/>
      <c r="HZ81" s="20"/>
      <c r="IA81" s="20"/>
    </row>
    <row r="82" spans="5:236">
      <c r="E82" s="8" t="s">
        <v>49</v>
      </c>
      <c r="F82" s="9" t="s">
        <v>50</v>
      </c>
      <c r="G82" s="9" t="s">
        <v>51</v>
      </c>
      <c r="H82" s="9">
        <v>15</v>
      </c>
      <c r="I82" s="9" t="s">
        <v>52</v>
      </c>
      <c r="J82" s="10">
        <v>2</v>
      </c>
      <c r="K82" s="5">
        <f>AO102-AO100</f>
        <v>0</v>
      </c>
      <c r="L82" s="6">
        <v>0</v>
      </c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>
        <v>2</v>
      </c>
      <c r="HH82" s="20">
        <v>2</v>
      </c>
      <c r="HI82" s="20">
        <v>2</v>
      </c>
      <c r="HJ82" s="20">
        <v>2</v>
      </c>
      <c r="HK82" s="20">
        <v>2</v>
      </c>
      <c r="HL82" s="20">
        <v>2</v>
      </c>
      <c r="HM82" s="20">
        <v>2</v>
      </c>
      <c r="HN82" s="20">
        <v>2</v>
      </c>
      <c r="HO82" s="20">
        <v>2</v>
      </c>
      <c r="HP82" s="20">
        <v>2</v>
      </c>
      <c r="HQ82" s="20">
        <v>2</v>
      </c>
      <c r="HR82" s="20">
        <v>2</v>
      </c>
      <c r="HS82" s="20">
        <v>2</v>
      </c>
      <c r="HT82" s="20">
        <v>2</v>
      </c>
      <c r="HU82" s="20">
        <v>2</v>
      </c>
      <c r="HV82" s="20"/>
      <c r="HW82" s="20"/>
      <c r="HX82" s="20"/>
      <c r="HY82" s="20"/>
      <c r="HZ82" s="20"/>
      <c r="IA82" s="20"/>
    </row>
    <row r="83" spans="5:236">
      <c r="E83" s="8" t="s">
        <v>53</v>
      </c>
      <c r="F83" s="9" t="s">
        <v>54</v>
      </c>
      <c r="G83" s="9" t="s">
        <v>55</v>
      </c>
      <c r="H83" s="9">
        <v>6</v>
      </c>
      <c r="I83" s="9" t="s">
        <v>49</v>
      </c>
      <c r="J83" s="10">
        <v>4</v>
      </c>
      <c r="K83" s="5">
        <f>AS102-AS100</f>
        <v>0</v>
      </c>
      <c r="L83" s="6">
        <v>0</v>
      </c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>
        <v>4</v>
      </c>
      <c r="HW83" s="20">
        <v>4</v>
      </c>
      <c r="HX83" s="20">
        <v>4</v>
      </c>
      <c r="HY83" s="20">
        <v>4</v>
      </c>
      <c r="HZ83" s="20">
        <v>4</v>
      </c>
      <c r="IA83" s="20">
        <v>4</v>
      </c>
    </row>
    <row r="84" spans="5:236"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</row>
    <row r="85" spans="5:236">
      <c r="P85" s="2" t="s">
        <v>294</v>
      </c>
      <c r="Q85" s="23">
        <v>2</v>
      </c>
      <c r="R85" s="23">
        <v>2</v>
      </c>
      <c r="S85" s="23">
        <v>2</v>
      </c>
      <c r="T85" s="23">
        <v>2</v>
      </c>
      <c r="U85" s="23">
        <v>2</v>
      </c>
      <c r="V85" s="23">
        <v>2</v>
      </c>
      <c r="W85" s="23">
        <v>2</v>
      </c>
      <c r="X85" s="23">
        <v>2</v>
      </c>
      <c r="Y85" s="23">
        <v>2</v>
      </c>
      <c r="Z85" s="23">
        <v>2</v>
      </c>
      <c r="AA85" s="23">
        <v>8</v>
      </c>
      <c r="AB85" s="23">
        <v>8</v>
      </c>
      <c r="AC85" s="23">
        <v>8</v>
      </c>
      <c r="AD85" s="23">
        <v>8</v>
      </c>
      <c r="AE85" s="23">
        <v>8</v>
      </c>
      <c r="AF85" s="23">
        <v>8</v>
      </c>
      <c r="AG85" s="23">
        <v>8</v>
      </c>
      <c r="AH85" s="23">
        <v>8</v>
      </c>
      <c r="AI85" s="23">
        <v>8</v>
      </c>
      <c r="AJ85" s="23">
        <v>8</v>
      </c>
      <c r="AK85" s="23">
        <v>7</v>
      </c>
      <c r="AL85" s="23">
        <v>7</v>
      </c>
      <c r="AM85" s="23">
        <v>7</v>
      </c>
      <c r="AN85" s="23">
        <v>7</v>
      </c>
      <c r="AO85" s="23">
        <v>7</v>
      </c>
      <c r="AP85" s="23">
        <v>7</v>
      </c>
      <c r="AQ85" s="23">
        <v>7</v>
      </c>
      <c r="AR85" s="23">
        <v>7</v>
      </c>
      <c r="AS85" s="23">
        <v>7</v>
      </c>
      <c r="AT85" s="23">
        <v>7</v>
      </c>
      <c r="AU85" s="23">
        <v>7</v>
      </c>
      <c r="AV85" s="23">
        <v>7</v>
      </c>
      <c r="AW85" s="23">
        <v>7</v>
      </c>
      <c r="AX85" s="23">
        <v>7</v>
      </c>
      <c r="AY85" s="23">
        <v>7</v>
      </c>
      <c r="AZ85" s="23">
        <v>7</v>
      </c>
      <c r="BA85" s="23">
        <v>7</v>
      </c>
      <c r="BB85" s="23">
        <v>7</v>
      </c>
      <c r="BC85" s="23">
        <v>7</v>
      </c>
      <c r="BD85" s="23">
        <v>7</v>
      </c>
      <c r="BE85" s="23">
        <v>7</v>
      </c>
      <c r="BF85" s="23">
        <v>7</v>
      </c>
      <c r="BG85" s="23">
        <v>7</v>
      </c>
      <c r="BH85" s="23">
        <v>7</v>
      </c>
      <c r="BI85" s="23">
        <v>7</v>
      </c>
      <c r="BJ85" s="23">
        <v>15</v>
      </c>
      <c r="BK85" s="23">
        <v>15</v>
      </c>
      <c r="BL85" s="23">
        <v>15</v>
      </c>
      <c r="BM85" s="23">
        <v>15</v>
      </c>
      <c r="BN85" s="23">
        <v>15</v>
      </c>
      <c r="BO85" s="23">
        <v>15</v>
      </c>
      <c r="BP85" s="23">
        <v>15</v>
      </c>
      <c r="BQ85" s="23">
        <v>15</v>
      </c>
      <c r="BR85" s="23">
        <v>15</v>
      </c>
      <c r="BS85" s="23">
        <v>15</v>
      </c>
      <c r="BT85" s="23">
        <v>15</v>
      </c>
      <c r="BU85" s="23">
        <v>15</v>
      </c>
      <c r="BV85" s="23">
        <v>15</v>
      </c>
      <c r="BW85" s="23">
        <v>15</v>
      </c>
      <c r="BX85" s="23">
        <v>15</v>
      </c>
      <c r="BY85" s="23">
        <v>9</v>
      </c>
      <c r="BZ85" s="23">
        <v>9</v>
      </c>
      <c r="CA85" s="23">
        <v>9</v>
      </c>
      <c r="CB85" s="23">
        <v>9</v>
      </c>
      <c r="CC85" s="23">
        <v>9</v>
      </c>
      <c r="CD85" s="23">
        <v>9</v>
      </c>
      <c r="CE85" s="23">
        <v>9</v>
      </c>
      <c r="CF85" s="23">
        <v>9</v>
      </c>
      <c r="CG85" s="23">
        <v>9</v>
      </c>
      <c r="CH85" s="23">
        <v>9</v>
      </c>
      <c r="CI85" s="23">
        <v>9</v>
      </c>
      <c r="CJ85" s="23">
        <v>9</v>
      </c>
      <c r="CK85" s="23">
        <v>9</v>
      </c>
      <c r="CL85" s="23">
        <v>9</v>
      </c>
      <c r="CM85" s="23">
        <v>9</v>
      </c>
      <c r="CN85" s="23">
        <v>9</v>
      </c>
      <c r="CO85" s="23">
        <v>6</v>
      </c>
      <c r="CP85" s="23">
        <v>6</v>
      </c>
      <c r="CQ85" s="23">
        <v>6</v>
      </c>
      <c r="CR85" s="23">
        <v>6</v>
      </c>
      <c r="CS85" s="23">
        <v>6</v>
      </c>
      <c r="CT85" s="23">
        <v>6</v>
      </c>
      <c r="CU85" s="23">
        <v>6</v>
      </c>
      <c r="CV85" s="23">
        <v>6</v>
      </c>
      <c r="CW85" s="23">
        <v>6</v>
      </c>
      <c r="CX85" s="23">
        <v>6</v>
      </c>
      <c r="CY85" s="23">
        <v>6</v>
      </c>
      <c r="CZ85" s="23">
        <v>6</v>
      </c>
      <c r="DA85" s="23">
        <v>6</v>
      </c>
      <c r="DB85" s="23">
        <v>6</v>
      </c>
      <c r="DC85" s="23">
        <v>6</v>
      </c>
      <c r="DD85" s="23">
        <v>5</v>
      </c>
      <c r="DE85" s="23">
        <v>5</v>
      </c>
      <c r="DF85" s="23">
        <v>5</v>
      </c>
      <c r="DG85" s="23">
        <v>5</v>
      </c>
      <c r="DH85" s="23">
        <v>5</v>
      </c>
      <c r="DI85" s="23">
        <v>5</v>
      </c>
      <c r="DJ85" s="23">
        <v>5</v>
      </c>
      <c r="DK85" s="23">
        <v>5</v>
      </c>
      <c r="DL85" s="23">
        <v>5</v>
      </c>
      <c r="DM85" s="23">
        <v>5</v>
      </c>
      <c r="DN85" s="23">
        <v>5</v>
      </c>
      <c r="DO85" s="23">
        <v>5</v>
      </c>
      <c r="DP85" s="23">
        <v>5</v>
      </c>
      <c r="DQ85" s="23">
        <v>5</v>
      </c>
      <c r="DR85" s="23">
        <v>5</v>
      </c>
      <c r="DS85" s="23">
        <v>5</v>
      </c>
      <c r="DT85" s="23">
        <v>5</v>
      </c>
      <c r="DU85" s="23">
        <v>5</v>
      </c>
      <c r="DV85" s="23">
        <v>5</v>
      </c>
      <c r="DW85" s="23">
        <v>5</v>
      </c>
      <c r="DX85" s="23">
        <v>5</v>
      </c>
      <c r="DY85" s="23">
        <v>5</v>
      </c>
      <c r="DZ85" s="23">
        <v>5</v>
      </c>
      <c r="EA85" s="23">
        <v>5</v>
      </c>
      <c r="EB85" s="23">
        <v>5</v>
      </c>
      <c r="EC85" s="23">
        <v>5</v>
      </c>
      <c r="ED85" s="23">
        <v>5</v>
      </c>
      <c r="EE85" s="23">
        <v>5</v>
      </c>
      <c r="EF85" s="23">
        <v>5</v>
      </c>
      <c r="EG85" s="23">
        <v>5</v>
      </c>
      <c r="EH85" s="23">
        <v>5</v>
      </c>
      <c r="EI85" s="23">
        <v>5</v>
      </c>
      <c r="EJ85" s="23">
        <v>5</v>
      </c>
      <c r="EK85" s="23">
        <v>5</v>
      </c>
      <c r="EL85" s="23">
        <v>5</v>
      </c>
      <c r="EM85" s="23">
        <v>5</v>
      </c>
      <c r="EN85" s="23">
        <v>5</v>
      </c>
      <c r="EO85" s="23">
        <v>5</v>
      </c>
      <c r="EP85" s="23">
        <v>5</v>
      </c>
      <c r="EQ85" s="23">
        <v>5</v>
      </c>
      <c r="ER85" s="23">
        <v>5</v>
      </c>
      <c r="ES85" s="23">
        <v>5</v>
      </c>
      <c r="ET85" s="23">
        <v>2</v>
      </c>
      <c r="EU85" s="23">
        <v>2</v>
      </c>
      <c r="EV85" s="23">
        <v>2</v>
      </c>
      <c r="EW85" s="23">
        <v>2</v>
      </c>
      <c r="EX85" s="23">
        <v>7</v>
      </c>
      <c r="EY85" s="23">
        <v>7</v>
      </c>
      <c r="EZ85" s="23">
        <v>7</v>
      </c>
      <c r="FA85" s="23">
        <v>7</v>
      </c>
      <c r="FB85" s="23">
        <v>7</v>
      </c>
      <c r="FC85" s="23">
        <v>7</v>
      </c>
      <c r="FD85" s="23">
        <v>7</v>
      </c>
      <c r="FE85" s="23">
        <v>7</v>
      </c>
      <c r="FF85" s="23">
        <v>7</v>
      </c>
      <c r="FG85" s="23">
        <v>7</v>
      </c>
      <c r="FH85" s="23">
        <v>7</v>
      </c>
      <c r="FI85" s="23">
        <v>7</v>
      </c>
      <c r="FJ85" s="23">
        <v>7</v>
      </c>
      <c r="FK85" s="23">
        <v>7</v>
      </c>
      <c r="FL85" s="23">
        <v>7</v>
      </c>
      <c r="FM85" s="23">
        <v>7</v>
      </c>
      <c r="FN85" s="23">
        <v>7</v>
      </c>
      <c r="FO85" s="23">
        <v>7</v>
      </c>
      <c r="FP85" s="23">
        <v>7</v>
      </c>
      <c r="FQ85" s="23">
        <v>7</v>
      </c>
      <c r="FR85" s="23">
        <v>7</v>
      </c>
      <c r="FS85" s="23">
        <v>7</v>
      </c>
      <c r="FT85" s="23">
        <v>7</v>
      </c>
      <c r="FU85" s="23">
        <v>7</v>
      </c>
      <c r="FV85" s="23">
        <v>7</v>
      </c>
      <c r="FW85" s="23">
        <v>7</v>
      </c>
      <c r="FX85" s="23">
        <v>7</v>
      </c>
      <c r="FY85" s="23">
        <v>7</v>
      </c>
      <c r="FZ85" s="23">
        <v>7</v>
      </c>
      <c r="GA85" s="23">
        <v>7</v>
      </c>
      <c r="GB85" s="23">
        <v>7</v>
      </c>
      <c r="GC85" s="23">
        <v>3</v>
      </c>
      <c r="GD85" s="23">
        <v>3</v>
      </c>
      <c r="GE85" s="23">
        <v>3</v>
      </c>
      <c r="GF85" s="23">
        <v>3</v>
      </c>
      <c r="GG85" s="23">
        <v>3</v>
      </c>
      <c r="GH85" s="23">
        <v>3</v>
      </c>
      <c r="GI85" s="23">
        <v>3</v>
      </c>
      <c r="GJ85" s="23">
        <v>3</v>
      </c>
      <c r="GK85" s="23">
        <v>3</v>
      </c>
      <c r="GL85" s="23">
        <v>3</v>
      </c>
      <c r="GM85" s="23">
        <v>3</v>
      </c>
      <c r="GN85" s="23">
        <v>3</v>
      </c>
      <c r="GO85" s="23">
        <v>3</v>
      </c>
      <c r="GP85" s="23">
        <v>3</v>
      </c>
      <c r="GQ85" s="23">
        <v>3</v>
      </c>
      <c r="GR85" s="23">
        <v>5</v>
      </c>
      <c r="GS85" s="23">
        <v>5</v>
      </c>
      <c r="GT85" s="23">
        <v>5</v>
      </c>
      <c r="GU85" s="23">
        <v>5</v>
      </c>
      <c r="GV85" s="23">
        <v>5</v>
      </c>
      <c r="GW85" s="23">
        <v>5</v>
      </c>
      <c r="GX85" s="23">
        <v>5</v>
      </c>
      <c r="GY85" s="23">
        <v>5</v>
      </c>
      <c r="GZ85" s="23">
        <v>5</v>
      </c>
      <c r="HA85" s="23">
        <v>5</v>
      </c>
      <c r="HB85" s="23">
        <v>5</v>
      </c>
      <c r="HC85" s="23">
        <v>5</v>
      </c>
      <c r="HD85" s="23">
        <v>5</v>
      </c>
      <c r="HE85" s="23">
        <v>5</v>
      </c>
      <c r="HF85" s="23">
        <v>5</v>
      </c>
      <c r="HG85" s="23">
        <v>5</v>
      </c>
      <c r="HH85" s="23">
        <v>5</v>
      </c>
      <c r="HI85" s="23">
        <v>5</v>
      </c>
      <c r="HJ85" s="23">
        <v>5</v>
      </c>
      <c r="HK85" s="23">
        <v>5</v>
      </c>
      <c r="HL85" s="23">
        <v>5</v>
      </c>
      <c r="HM85" s="23">
        <v>5</v>
      </c>
      <c r="HN85" s="23">
        <v>5</v>
      </c>
      <c r="HO85" s="23">
        <v>5</v>
      </c>
      <c r="HP85" s="23">
        <v>5</v>
      </c>
      <c r="HQ85" s="23">
        <v>5</v>
      </c>
      <c r="HR85" s="23">
        <v>5</v>
      </c>
      <c r="HS85" s="23">
        <v>5</v>
      </c>
      <c r="HT85" s="23">
        <v>5</v>
      </c>
      <c r="HU85" s="23">
        <v>5</v>
      </c>
      <c r="HV85" s="23">
        <v>7</v>
      </c>
      <c r="HW85" s="23">
        <v>7</v>
      </c>
      <c r="HX85" s="23">
        <v>4</v>
      </c>
      <c r="HY85" s="23">
        <v>4</v>
      </c>
      <c r="HZ85" s="23">
        <v>4</v>
      </c>
      <c r="IA85" s="23">
        <v>4</v>
      </c>
    </row>
    <row r="86" spans="5:236"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</row>
    <row r="87" spans="5:236"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</row>
    <row r="95" spans="5:236">
      <c r="E95" s="2" t="s">
        <v>295</v>
      </c>
    </row>
    <row r="97" spans="5:125">
      <c r="Q97" s="14">
        <v>46113</v>
      </c>
      <c r="R97" s="14">
        <v>46114</v>
      </c>
      <c r="S97" s="14">
        <v>46115</v>
      </c>
      <c r="T97" s="14">
        <v>46116</v>
      </c>
      <c r="U97" s="14">
        <v>46117</v>
      </c>
      <c r="V97" s="14">
        <v>46118</v>
      </c>
      <c r="W97" s="14">
        <v>46119</v>
      </c>
      <c r="X97" s="14">
        <v>46120</v>
      </c>
      <c r="Y97" s="14">
        <v>46121</v>
      </c>
      <c r="Z97" s="14">
        <v>46122</v>
      </c>
      <c r="AA97" s="14">
        <v>46123</v>
      </c>
      <c r="AB97" s="14">
        <v>46124</v>
      </c>
      <c r="AC97" s="14">
        <v>46125</v>
      </c>
      <c r="AD97" s="14">
        <v>46126</v>
      </c>
      <c r="AE97" s="14">
        <v>46127</v>
      </c>
      <c r="AF97" s="14">
        <v>46128</v>
      </c>
      <c r="AG97" s="14">
        <v>46129</v>
      </c>
      <c r="AH97" s="14">
        <v>46130</v>
      </c>
      <c r="AI97" s="14">
        <v>46131</v>
      </c>
      <c r="AJ97" s="14">
        <v>46132</v>
      </c>
      <c r="AK97" s="14">
        <v>46133</v>
      </c>
      <c r="AL97" s="14">
        <v>46134</v>
      </c>
      <c r="AM97" s="14">
        <v>46135</v>
      </c>
      <c r="AN97" s="14">
        <v>46136</v>
      </c>
      <c r="AO97" s="14">
        <v>46137</v>
      </c>
      <c r="AP97" s="14">
        <v>46138</v>
      </c>
      <c r="AQ97" s="14">
        <v>46139</v>
      </c>
      <c r="AR97" s="14">
        <v>46140</v>
      </c>
      <c r="AS97" s="14">
        <v>46141</v>
      </c>
      <c r="AT97" s="14">
        <v>46142</v>
      </c>
      <c r="AU97" s="14">
        <v>46143</v>
      </c>
      <c r="AV97" s="14">
        <v>46144</v>
      </c>
      <c r="AW97" s="14">
        <v>46145</v>
      </c>
      <c r="AX97" s="14">
        <v>46146</v>
      </c>
      <c r="AY97" s="14">
        <v>46147</v>
      </c>
      <c r="AZ97" s="14">
        <v>46148</v>
      </c>
      <c r="BA97" s="14">
        <v>46149</v>
      </c>
      <c r="BB97" s="14">
        <v>46150</v>
      </c>
      <c r="BC97" s="14">
        <v>46151</v>
      </c>
      <c r="BD97" s="14">
        <v>46152</v>
      </c>
      <c r="BE97" s="14">
        <v>46153</v>
      </c>
      <c r="BF97" s="14">
        <v>46154</v>
      </c>
      <c r="BG97" s="14">
        <v>46155</v>
      </c>
      <c r="BH97" s="14">
        <v>46156</v>
      </c>
      <c r="BI97" s="14">
        <v>46157</v>
      </c>
      <c r="BJ97" s="14">
        <v>46158</v>
      </c>
      <c r="BK97" s="14">
        <v>46159</v>
      </c>
      <c r="BL97" s="14">
        <v>46160</v>
      </c>
      <c r="BM97" s="14">
        <v>46161</v>
      </c>
      <c r="BN97" s="14">
        <v>46162</v>
      </c>
      <c r="BO97" s="14">
        <v>46163</v>
      </c>
      <c r="BP97" s="14">
        <v>46164</v>
      </c>
      <c r="BQ97" s="14">
        <v>46165</v>
      </c>
      <c r="BR97" s="14">
        <v>46166</v>
      </c>
      <c r="BS97" s="14">
        <v>46167</v>
      </c>
      <c r="BT97" s="14">
        <v>46168</v>
      </c>
      <c r="BU97" s="14">
        <v>46169</v>
      </c>
      <c r="BV97" s="14">
        <v>46170</v>
      </c>
      <c r="BW97" s="14">
        <v>46171</v>
      </c>
      <c r="BX97" s="14">
        <v>46172</v>
      </c>
      <c r="BY97" s="14">
        <v>46173</v>
      </c>
      <c r="BZ97" s="14">
        <v>46174</v>
      </c>
      <c r="CA97" s="14">
        <v>46175</v>
      </c>
      <c r="CB97" s="14">
        <v>46176</v>
      </c>
      <c r="CC97" s="14">
        <v>46177</v>
      </c>
      <c r="CD97" s="14">
        <v>46178</v>
      </c>
      <c r="CE97" s="14">
        <v>46179</v>
      </c>
      <c r="CF97" s="14">
        <v>46180</v>
      </c>
      <c r="CG97" s="14">
        <v>46181</v>
      </c>
      <c r="CH97" s="14">
        <v>46182</v>
      </c>
      <c r="CI97" s="14">
        <v>46183</v>
      </c>
      <c r="CJ97" s="14">
        <v>46184</v>
      </c>
      <c r="CK97" s="14">
        <v>46185</v>
      </c>
      <c r="CL97" s="14">
        <v>46186</v>
      </c>
      <c r="CM97" s="14">
        <v>46187</v>
      </c>
      <c r="CN97" s="14">
        <v>46188</v>
      </c>
      <c r="CO97" s="14">
        <v>46189</v>
      </c>
      <c r="CP97" s="14">
        <v>46190</v>
      </c>
      <c r="CQ97" s="14">
        <v>46191</v>
      </c>
      <c r="CR97" s="14">
        <v>46192</v>
      </c>
      <c r="CS97" s="14">
        <v>46193</v>
      </c>
      <c r="CT97" s="14">
        <v>46194</v>
      </c>
      <c r="CU97" s="14">
        <v>46195</v>
      </c>
      <c r="CV97" s="14">
        <v>46196</v>
      </c>
      <c r="CW97" s="14">
        <v>46197</v>
      </c>
      <c r="CX97" s="14">
        <v>46198</v>
      </c>
      <c r="CY97" s="14">
        <v>46199</v>
      </c>
      <c r="CZ97" s="14">
        <v>46200</v>
      </c>
      <c r="DA97" s="14">
        <v>46201</v>
      </c>
      <c r="DB97" s="14">
        <v>46202</v>
      </c>
      <c r="DC97" s="14">
        <v>46203</v>
      </c>
      <c r="DD97" s="14">
        <v>46204</v>
      </c>
      <c r="DE97" s="14">
        <v>46205</v>
      </c>
      <c r="DF97" s="14">
        <v>46206</v>
      </c>
      <c r="DG97" s="14">
        <v>46207</v>
      </c>
      <c r="DH97" s="14">
        <v>46208</v>
      </c>
      <c r="DI97" s="14">
        <v>46209</v>
      </c>
      <c r="DJ97" s="14">
        <v>46210</v>
      </c>
      <c r="DK97" s="14">
        <v>46211</v>
      </c>
      <c r="DL97" s="14">
        <v>46212</v>
      </c>
      <c r="DM97" s="14">
        <v>46213</v>
      </c>
      <c r="DN97" s="14">
        <v>46214</v>
      </c>
      <c r="DO97" s="14">
        <v>46215</v>
      </c>
      <c r="DP97" s="14">
        <v>46216</v>
      </c>
      <c r="DQ97" s="14">
        <v>46217</v>
      </c>
      <c r="DT97" s="22" t="s">
        <v>71</v>
      </c>
      <c r="DU97" s="22"/>
    </row>
    <row r="98" spans="5:125">
      <c r="Q98" s="20" t="s">
        <v>72</v>
      </c>
      <c r="R98" s="20" t="s">
        <v>73</v>
      </c>
      <c r="S98" s="20" t="s">
        <v>74</v>
      </c>
      <c r="T98" s="20" t="s">
        <v>75</v>
      </c>
      <c r="U98" s="20" t="s">
        <v>76</v>
      </c>
      <c r="V98" s="20" t="s">
        <v>77</v>
      </c>
      <c r="W98" s="20" t="s">
        <v>78</v>
      </c>
      <c r="X98" s="20" t="s">
        <v>79</v>
      </c>
      <c r="Y98" s="20" t="s">
        <v>80</v>
      </c>
      <c r="Z98" s="20" t="s">
        <v>81</v>
      </c>
      <c r="AA98" s="20" t="s">
        <v>82</v>
      </c>
      <c r="AB98" s="20" t="s">
        <v>83</v>
      </c>
      <c r="AC98" s="20" t="s">
        <v>84</v>
      </c>
      <c r="AD98" s="20" t="s">
        <v>85</v>
      </c>
      <c r="AE98" s="20" t="s">
        <v>86</v>
      </c>
      <c r="AF98" s="20" t="s">
        <v>87</v>
      </c>
      <c r="AG98" s="20" t="s">
        <v>88</v>
      </c>
      <c r="AH98" s="20" t="s">
        <v>89</v>
      </c>
      <c r="AI98" s="20" t="s">
        <v>90</v>
      </c>
      <c r="AJ98" s="20" t="s">
        <v>91</v>
      </c>
      <c r="AK98" s="20" t="s">
        <v>92</v>
      </c>
      <c r="AL98" s="20" t="s">
        <v>93</v>
      </c>
      <c r="AM98" s="20" t="s">
        <v>94</v>
      </c>
      <c r="AN98" s="20" t="s">
        <v>95</v>
      </c>
      <c r="AO98" s="20" t="s">
        <v>96</v>
      </c>
      <c r="AP98" s="20" t="s">
        <v>97</v>
      </c>
      <c r="AQ98" s="20" t="s">
        <v>98</v>
      </c>
      <c r="AR98" s="20" t="s">
        <v>99</v>
      </c>
      <c r="AS98" s="20" t="s">
        <v>100</v>
      </c>
      <c r="AT98" s="20" t="s">
        <v>101</v>
      </c>
      <c r="AU98" s="20" t="s">
        <v>102</v>
      </c>
      <c r="AV98" s="20" t="s">
        <v>103</v>
      </c>
      <c r="AW98" s="20" t="s">
        <v>104</v>
      </c>
      <c r="AX98" s="20" t="s">
        <v>105</v>
      </c>
      <c r="AY98" s="20" t="s">
        <v>106</v>
      </c>
      <c r="AZ98" s="20" t="s">
        <v>107</v>
      </c>
      <c r="BA98" s="20" t="s">
        <v>108</v>
      </c>
      <c r="BB98" s="20" t="s">
        <v>109</v>
      </c>
      <c r="BC98" s="20" t="s">
        <v>110</v>
      </c>
      <c r="BD98" s="20" t="s">
        <v>111</v>
      </c>
      <c r="BE98" s="20" t="s">
        <v>112</v>
      </c>
      <c r="BF98" s="20" t="s">
        <v>113</v>
      </c>
      <c r="BG98" s="20" t="s">
        <v>114</v>
      </c>
      <c r="BH98" s="20" t="s">
        <v>115</v>
      </c>
      <c r="BI98" s="20" t="s">
        <v>116</v>
      </c>
      <c r="BJ98" s="20" t="s">
        <v>117</v>
      </c>
      <c r="BK98" s="20" t="s">
        <v>118</v>
      </c>
      <c r="BL98" s="20" t="s">
        <v>119</v>
      </c>
      <c r="BM98" s="20" t="s">
        <v>120</v>
      </c>
      <c r="BN98" s="20" t="s">
        <v>121</v>
      </c>
      <c r="BO98" s="20" t="s">
        <v>122</v>
      </c>
      <c r="BP98" s="20" t="s">
        <v>123</v>
      </c>
      <c r="BQ98" s="20" t="s">
        <v>124</v>
      </c>
      <c r="BR98" s="20" t="s">
        <v>125</v>
      </c>
      <c r="BS98" s="20" t="s">
        <v>126</v>
      </c>
      <c r="BT98" s="20" t="s">
        <v>127</v>
      </c>
      <c r="BU98" s="20" t="s">
        <v>128</v>
      </c>
      <c r="BV98" s="20" t="s">
        <v>129</v>
      </c>
      <c r="BW98" s="20" t="s">
        <v>130</v>
      </c>
      <c r="BX98" s="20" t="s">
        <v>131</v>
      </c>
      <c r="BY98" s="20" t="s">
        <v>132</v>
      </c>
      <c r="BZ98" s="20" t="s">
        <v>133</v>
      </c>
      <c r="CA98" s="20" t="s">
        <v>134</v>
      </c>
      <c r="CB98" s="20" t="s">
        <v>135</v>
      </c>
      <c r="CC98" s="20" t="s">
        <v>136</v>
      </c>
      <c r="CD98" s="20" t="s">
        <v>137</v>
      </c>
      <c r="CE98" s="20" t="s">
        <v>138</v>
      </c>
      <c r="CF98" s="20" t="s">
        <v>139</v>
      </c>
      <c r="CG98" s="20" t="s">
        <v>140</v>
      </c>
      <c r="CH98" s="20" t="s">
        <v>141</v>
      </c>
      <c r="CI98" s="20" t="s">
        <v>142</v>
      </c>
      <c r="CJ98" s="20" t="s">
        <v>143</v>
      </c>
      <c r="CK98" s="20" t="s">
        <v>144</v>
      </c>
      <c r="CL98" s="20" t="s">
        <v>145</v>
      </c>
      <c r="CM98" s="20" t="s">
        <v>146</v>
      </c>
      <c r="CN98" s="20" t="s">
        <v>147</v>
      </c>
      <c r="CO98" s="20" t="s">
        <v>148</v>
      </c>
      <c r="CP98" s="20" t="s">
        <v>149</v>
      </c>
      <c r="CQ98" s="20" t="s">
        <v>150</v>
      </c>
      <c r="CR98" s="20" t="s">
        <v>151</v>
      </c>
      <c r="CS98" s="20" t="s">
        <v>152</v>
      </c>
      <c r="CT98" s="20" t="s">
        <v>153</v>
      </c>
      <c r="CU98" s="20" t="s">
        <v>154</v>
      </c>
      <c r="CV98" s="20" t="s">
        <v>155</v>
      </c>
      <c r="CW98" s="20" t="s">
        <v>156</v>
      </c>
      <c r="CX98" s="20" t="s">
        <v>157</v>
      </c>
      <c r="CY98" s="20" t="s">
        <v>158</v>
      </c>
      <c r="CZ98" s="20" t="s">
        <v>159</v>
      </c>
      <c r="DA98" s="20" t="s">
        <v>160</v>
      </c>
      <c r="DB98" s="20" t="s">
        <v>161</v>
      </c>
      <c r="DC98" s="20" t="s">
        <v>162</v>
      </c>
      <c r="DD98" s="20" t="s">
        <v>163</v>
      </c>
      <c r="DE98" s="20" t="s">
        <v>164</v>
      </c>
      <c r="DF98" s="20" t="s">
        <v>165</v>
      </c>
      <c r="DG98" s="20" t="s">
        <v>166</v>
      </c>
      <c r="DH98" s="20" t="s">
        <v>167</v>
      </c>
      <c r="DI98" s="20" t="s">
        <v>168</v>
      </c>
      <c r="DJ98" s="20" t="s">
        <v>169</v>
      </c>
      <c r="DK98" s="20" t="s">
        <v>170</v>
      </c>
      <c r="DL98" s="20" t="s">
        <v>171</v>
      </c>
      <c r="DM98" s="20" t="s">
        <v>172</v>
      </c>
      <c r="DN98" s="20" t="s">
        <v>173</v>
      </c>
      <c r="DO98" s="20" t="s">
        <v>174</v>
      </c>
      <c r="DP98" s="20" t="s">
        <v>175</v>
      </c>
      <c r="DQ98" s="20" t="s">
        <v>176</v>
      </c>
      <c r="DT98" s="22" t="s">
        <v>291</v>
      </c>
      <c r="DU98" s="22">
        <f>15*105*300</f>
        <v>472500</v>
      </c>
    </row>
    <row r="99" spans="5:125">
      <c r="E99" s="3" t="s">
        <v>0</v>
      </c>
      <c r="F99" s="3" t="s">
        <v>1</v>
      </c>
      <c r="G99" s="3" t="s">
        <v>2</v>
      </c>
      <c r="H99" s="3" t="s">
        <v>3</v>
      </c>
      <c r="I99" s="3" t="s">
        <v>4</v>
      </c>
      <c r="J99" s="4" t="s">
        <v>5</v>
      </c>
      <c r="K99" s="5" t="s">
        <v>6</v>
      </c>
      <c r="L99" s="6" t="s">
        <v>7</v>
      </c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T99" s="22" t="s">
        <v>292</v>
      </c>
      <c r="DU99" s="24">
        <v>1182600</v>
      </c>
    </row>
    <row r="100" spans="5:125">
      <c r="E100" s="8" t="s">
        <v>9</v>
      </c>
      <c r="F100" s="9" t="s">
        <v>10</v>
      </c>
      <c r="G100" s="9" t="s">
        <v>11</v>
      </c>
      <c r="H100" s="9">
        <v>10</v>
      </c>
      <c r="I100" s="9" t="s">
        <v>12</v>
      </c>
      <c r="J100" s="10">
        <v>2</v>
      </c>
      <c r="K100" s="5">
        <f>L123-L121</f>
        <v>0</v>
      </c>
      <c r="L100" s="6">
        <v>0</v>
      </c>
      <c r="Q100" s="20">
        <v>13</v>
      </c>
      <c r="R100" s="20">
        <v>13</v>
      </c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T100" s="22" t="s">
        <v>293</v>
      </c>
      <c r="DU100" s="22">
        <f>DU99-DU98</f>
        <v>710100</v>
      </c>
    </row>
    <row r="101" spans="5:125">
      <c r="E101" s="8" t="s">
        <v>14</v>
      </c>
      <c r="F101" s="9" t="s">
        <v>15</v>
      </c>
      <c r="G101" s="9" t="s">
        <v>16</v>
      </c>
      <c r="H101" s="9">
        <v>10</v>
      </c>
      <c r="I101" s="9" t="s">
        <v>9</v>
      </c>
      <c r="J101" s="10">
        <v>5</v>
      </c>
      <c r="K101" s="5">
        <f>P123-P121</f>
        <v>0</v>
      </c>
      <c r="L101" s="6">
        <v>0</v>
      </c>
      <c r="Q101" s="20"/>
      <c r="R101" s="20"/>
      <c r="S101" s="20">
        <v>9</v>
      </c>
      <c r="T101" s="20">
        <v>9</v>
      </c>
      <c r="U101" s="20">
        <v>9</v>
      </c>
      <c r="V101" s="20">
        <v>9</v>
      </c>
      <c r="W101" s="20">
        <v>9</v>
      </c>
      <c r="X101" s="20">
        <v>9</v>
      </c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</row>
    <row r="102" spans="5:125">
      <c r="E102" s="8" t="s">
        <v>17</v>
      </c>
      <c r="F102" s="9" t="s">
        <v>18</v>
      </c>
      <c r="G102" s="9" t="s">
        <v>19</v>
      </c>
      <c r="H102" s="9">
        <v>25</v>
      </c>
      <c r="I102" s="9" t="s">
        <v>14</v>
      </c>
      <c r="J102" s="10">
        <v>4</v>
      </c>
      <c r="K102" s="5">
        <f>T123-T121</f>
        <v>0</v>
      </c>
      <c r="L102" s="6">
        <v>0</v>
      </c>
      <c r="Q102" s="20"/>
      <c r="R102" s="20"/>
      <c r="S102" s="20"/>
      <c r="T102" s="20"/>
      <c r="U102" s="20"/>
      <c r="V102" s="20"/>
      <c r="W102" s="20"/>
      <c r="X102" s="20"/>
      <c r="Y102" s="20">
        <v>9</v>
      </c>
      <c r="Z102" s="20">
        <v>9</v>
      </c>
      <c r="AA102" s="20">
        <v>9</v>
      </c>
      <c r="AB102" s="20">
        <v>9</v>
      </c>
      <c r="AC102" s="20">
        <v>9</v>
      </c>
      <c r="AD102" s="20">
        <v>9</v>
      </c>
      <c r="AE102" s="20">
        <v>9</v>
      </c>
      <c r="AF102" s="20">
        <v>9</v>
      </c>
      <c r="AG102" s="20">
        <v>9</v>
      </c>
      <c r="AH102" s="20">
        <v>9</v>
      </c>
      <c r="AI102" s="20">
        <v>9</v>
      </c>
      <c r="AJ102" s="20">
        <v>9</v>
      </c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</row>
    <row r="103" spans="5:125">
      <c r="E103" s="9" t="s">
        <v>20</v>
      </c>
      <c r="F103" s="9" t="s">
        <v>21</v>
      </c>
      <c r="G103" s="9" t="s">
        <v>22</v>
      </c>
      <c r="H103" s="9">
        <v>31</v>
      </c>
      <c r="I103" s="9" t="s">
        <v>17</v>
      </c>
      <c r="J103" s="10">
        <v>3</v>
      </c>
      <c r="K103" s="5">
        <f>X118-X116</f>
        <v>0</v>
      </c>
      <c r="L103" s="6">
        <v>0</v>
      </c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>
        <v>2</v>
      </c>
      <c r="AL103" s="20">
        <v>2</v>
      </c>
      <c r="AM103" s="20">
        <v>2</v>
      </c>
      <c r="AN103" s="20">
        <v>2</v>
      </c>
      <c r="AO103" s="20">
        <v>2</v>
      </c>
      <c r="AP103" s="20">
        <v>2</v>
      </c>
      <c r="AQ103" s="20">
        <v>2</v>
      </c>
      <c r="AR103" s="20">
        <v>2</v>
      </c>
      <c r="AS103" s="20">
        <v>2</v>
      </c>
      <c r="AT103" s="20">
        <v>2</v>
      </c>
      <c r="AU103" s="20">
        <v>2</v>
      </c>
      <c r="AV103" s="20">
        <v>2</v>
      </c>
      <c r="AW103" s="20">
        <v>2</v>
      </c>
      <c r="AX103" s="20">
        <v>2</v>
      </c>
      <c r="AY103" s="20">
        <v>2</v>
      </c>
      <c r="AZ103" s="20">
        <v>2</v>
      </c>
      <c r="BA103" s="20">
        <v>2</v>
      </c>
      <c r="BB103" s="20">
        <v>2</v>
      </c>
      <c r="BC103" s="20">
        <v>2</v>
      </c>
      <c r="BD103" s="20">
        <v>2</v>
      </c>
      <c r="BE103" s="20">
        <v>2</v>
      </c>
      <c r="BF103" s="20">
        <v>2</v>
      </c>
      <c r="BG103" s="20">
        <v>2</v>
      </c>
      <c r="BH103" s="20">
        <v>2</v>
      </c>
      <c r="BI103" s="20">
        <v>2</v>
      </c>
      <c r="BJ103" s="20">
        <v>2</v>
      </c>
      <c r="BK103" s="20">
        <v>2</v>
      </c>
      <c r="BL103" s="20">
        <v>2</v>
      </c>
      <c r="BM103" s="20">
        <v>2</v>
      </c>
      <c r="BN103" s="20">
        <v>2</v>
      </c>
      <c r="BO103" s="20">
        <v>2</v>
      </c>
      <c r="BP103" s="20">
        <v>2</v>
      </c>
      <c r="BQ103" s="20">
        <v>2</v>
      </c>
      <c r="BR103" s="20">
        <v>2</v>
      </c>
      <c r="BS103" s="20">
        <v>2</v>
      </c>
      <c r="BT103" s="20">
        <v>2</v>
      </c>
      <c r="BU103" s="20">
        <v>2</v>
      </c>
      <c r="BV103" s="20">
        <v>2</v>
      </c>
      <c r="BW103" s="20">
        <v>2</v>
      </c>
      <c r="BX103" s="20">
        <v>2</v>
      </c>
      <c r="BY103" s="20">
        <v>2</v>
      </c>
      <c r="BZ103" s="20">
        <v>2</v>
      </c>
      <c r="CA103" s="20">
        <v>2</v>
      </c>
      <c r="CB103" s="20">
        <v>2</v>
      </c>
      <c r="CC103" s="20">
        <v>2</v>
      </c>
      <c r="CD103" s="20">
        <v>2</v>
      </c>
      <c r="CE103" s="20">
        <v>2</v>
      </c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</row>
    <row r="104" spans="5:125">
      <c r="E104" s="9" t="s">
        <v>23</v>
      </c>
      <c r="F104" s="9" t="s">
        <v>24</v>
      </c>
      <c r="G104" s="9" t="s">
        <v>25</v>
      </c>
      <c r="H104" s="9">
        <v>15</v>
      </c>
      <c r="I104" s="9" t="s">
        <v>17</v>
      </c>
      <c r="J104" s="10">
        <v>6</v>
      </c>
      <c r="K104" s="5">
        <f>X123-X121</f>
        <v>0</v>
      </c>
      <c r="L104" s="6">
        <v>77</v>
      </c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>
        <v>2</v>
      </c>
      <c r="AL104" s="20">
        <v>2</v>
      </c>
      <c r="AM104" s="20">
        <v>2</v>
      </c>
      <c r="AN104" s="20">
        <v>2</v>
      </c>
      <c r="AO104" s="20">
        <v>2</v>
      </c>
      <c r="AP104" s="20">
        <v>2</v>
      </c>
      <c r="AQ104" s="20">
        <v>2</v>
      </c>
      <c r="AR104" s="20">
        <v>2</v>
      </c>
      <c r="AS104" s="20">
        <v>2</v>
      </c>
      <c r="AT104" s="20">
        <v>2</v>
      </c>
      <c r="AU104" s="20">
        <v>2</v>
      </c>
      <c r="AV104" s="20">
        <v>2</v>
      </c>
      <c r="AW104" s="20">
        <v>2</v>
      </c>
      <c r="AX104" s="20">
        <v>2</v>
      </c>
      <c r="AY104" s="20">
        <v>2</v>
      </c>
      <c r="AZ104" s="20">
        <v>2</v>
      </c>
      <c r="BA104" s="20">
        <v>2</v>
      </c>
      <c r="BB104" s="20">
        <v>2</v>
      </c>
      <c r="BC104" s="20">
        <v>2</v>
      </c>
      <c r="BD104" s="20">
        <v>2</v>
      </c>
      <c r="BE104" s="20">
        <v>2</v>
      </c>
      <c r="BF104" s="20">
        <v>2</v>
      </c>
      <c r="BG104" s="20">
        <v>2</v>
      </c>
      <c r="BH104" s="20">
        <v>2</v>
      </c>
      <c r="BI104" s="20">
        <v>2</v>
      </c>
      <c r="BJ104" s="20">
        <v>2</v>
      </c>
      <c r="BK104" s="20">
        <v>2</v>
      </c>
      <c r="BL104" s="20">
        <v>2</v>
      </c>
      <c r="BM104" s="20">
        <v>2</v>
      </c>
      <c r="BN104" s="20">
        <v>2</v>
      </c>
      <c r="BO104" s="20">
        <v>2</v>
      </c>
      <c r="BP104" s="20">
        <v>2</v>
      </c>
      <c r="BQ104" s="20">
        <v>2</v>
      </c>
      <c r="BR104" s="20">
        <v>2</v>
      </c>
      <c r="BS104" s="20">
        <v>2</v>
      </c>
      <c r="BT104" s="20">
        <v>2</v>
      </c>
      <c r="BU104" s="20">
        <v>2</v>
      </c>
      <c r="BV104" s="20">
        <v>2</v>
      </c>
      <c r="BW104" s="20">
        <v>2</v>
      </c>
      <c r="BX104" s="20">
        <v>2</v>
      </c>
      <c r="BY104" s="20">
        <v>2</v>
      </c>
      <c r="BZ104" s="20">
        <v>2</v>
      </c>
      <c r="CA104" s="20">
        <v>2</v>
      </c>
      <c r="CB104" s="20">
        <v>2</v>
      </c>
      <c r="CC104" s="20">
        <v>2</v>
      </c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</row>
    <row r="105" spans="5:125">
      <c r="E105" s="8" t="s">
        <v>26</v>
      </c>
      <c r="F105" s="9" t="s">
        <v>27</v>
      </c>
      <c r="G105" s="9" t="s">
        <v>28</v>
      </c>
      <c r="H105" s="9">
        <v>46</v>
      </c>
      <c r="I105" s="9" t="s">
        <v>17</v>
      </c>
      <c r="J105" s="10">
        <v>3</v>
      </c>
      <c r="K105" s="5">
        <f>X128-X126</f>
        <v>0</v>
      </c>
      <c r="L105" s="6">
        <v>0</v>
      </c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>
        <v>5</v>
      </c>
      <c r="AL105" s="20">
        <v>5</v>
      </c>
      <c r="AM105" s="20">
        <v>5</v>
      </c>
      <c r="AN105" s="20">
        <v>5</v>
      </c>
      <c r="AO105" s="20">
        <v>5</v>
      </c>
      <c r="AP105" s="20">
        <v>5</v>
      </c>
      <c r="AQ105" s="20">
        <v>5</v>
      </c>
      <c r="AR105" s="20">
        <v>5</v>
      </c>
      <c r="AS105" s="20">
        <v>5</v>
      </c>
      <c r="AT105" s="20">
        <v>5</v>
      </c>
      <c r="AU105" s="20">
        <v>5</v>
      </c>
      <c r="AV105" s="20">
        <v>5</v>
      </c>
      <c r="AW105" s="20">
        <v>5</v>
      </c>
      <c r="AX105" s="20">
        <v>5</v>
      </c>
      <c r="AY105" s="20">
        <v>5</v>
      </c>
      <c r="AZ105" s="20">
        <v>5</v>
      </c>
      <c r="BA105" s="20">
        <v>5</v>
      </c>
      <c r="BB105" s="20">
        <v>5</v>
      </c>
      <c r="BC105" s="20">
        <v>5</v>
      </c>
      <c r="BD105" s="20">
        <v>5</v>
      </c>
      <c r="BE105" s="20">
        <v>5</v>
      </c>
      <c r="BF105" s="20">
        <v>5</v>
      </c>
      <c r="BG105" s="20">
        <v>5</v>
      </c>
      <c r="BH105" s="20">
        <v>5</v>
      </c>
      <c r="BI105" s="20">
        <v>5</v>
      </c>
      <c r="BJ105" s="20">
        <v>5</v>
      </c>
      <c r="BK105" s="20">
        <v>5</v>
      </c>
      <c r="BL105" s="20">
        <v>5</v>
      </c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</row>
    <row r="106" spans="5:125">
      <c r="E106" s="8" t="s">
        <v>29</v>
      </c>
      <c r="F106" s="9" t="s">
        <v>30</v>
      </c>
      <c r="G106" s="9" t="s">
        <v>31</v>
      </c>
      <c r="H106" s="9">
        <v>46</v>
      </c>
      <c r="I106" s="9" t="s">
        <v>26</v>
      </c>
      <c r="J106" s="10">
        <v>2</v>
      </c>
      <c r="K106" s="5">
        <f>AB128-AB126</f>
        <v>0</v>
      </c>
      <c r="L106" s="6">
        <v>0</v>
      </c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>
        <v>5</v>
      </c>
      <c r="BN106" s="20">
        <v>5</v>
      </c>
      <c r="BO106" s="20">
        <v>5</v>
      </c>
      <c r="BP106" s="20">
        <v>5</v>
      </c>
      <c r="BQ106" s="20">
        <v>5</v>
      </c>
      <c r="BR106" s="20">
        <v>5</v>
      </c>
      <c r="BS106" s="20">
        <v>5</v>
      </c>
      <c r="BT106" s="20">
        <v>5</v>
      </c>
      <c r="BU106" s="20">
        <v>5</v>
      </c>
      <c r="BV106" s="20">
        <v>5</v>
      </c>
      <c r="BW106" s="20">
        <v>5</v>
      </c>
      <c r="BX106" s="20">
        <v>5</v>
      </c>
      <c r="BY106" s="20">
        <v>5</v>
      </c>
      <c r="BZ106" s="20">
        <v>5</v>
      </c>
      <c r="CA106" s="20">
        <v>5</v>
      </c>
      <c r="CB106" s="20">
        <v>5</v>
      </c>
      <c r="CC106" s="20">
        <v>5</v>
      </c>
      <c r="CD106" s="20">
        <v>5</v>
      </c>
      <c r="CE106" s="20">
        <v>5</v>
      </c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</row>
    <row r="107" spans="5:125">
      <c r="E107" s="9" t="s">
        <v>32</v>
      </c>
      <c r="F107" s="9" t="s">
        <v>33</v>
      </c>
      <c r="G107" s="9" t="s">
        <v>34</v>
      </c>
      <c r="H107" s="9">
        <v>31</v>
      </c>
      <c r="I107" s="9" t="s">
        <v>35</v>
      </c>
      <c r="J107" s="10">
        <v>4</v>
      </c>
      <c r="K107" s="5">
        <f>AF128-AF126</f>
        <v>0</v>
      </c>
      <c r="L107" s="6">
        <v>15</v>
      </c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>
        <v>9</v>
      </c>
      <c r="CG107" s="20">
        <v>9</v>
      </c>
      <c r="CH107" s="20">
        <v>9</v>
      </c>
      <c r="CI107" s="20">
        <v>9</v>
      </c>
      <c r="CJ107" s="20">
        <v>9</v>
      </c>
      <c r="CK107" s="20">
        <v>9</v>
      </c>
      <c r="CL107" s="20">
        <v>9</v>
      </c>
      <c r="CM107" s="20">
        <v>9</v>
      </c>
      <c r="CN107" s="20">
        <v>9</v>
      </c>
      <c r="CO107" s="20">
        <v>9</v>
      </c>
      <c r="CP107" s="20">
        <v>9</v>
      </c>
      <c r="CQ107" s="20">
        <v>9</v>
      </c>
      <c r="CR107" s="20">
        <v>9</v>
      </c>
      <c r="CS107" s="20">
        <v>9</v>
      </c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</row>
    <row r="108" spans="5:125">
      <c r="E108" s="9" t="s">
        <v>36</v>
      </c>
      <c r="F108" s="9" t="s">
        <v>37</v>
      </c>
      <c r="G108" s="9" t="s">
        <v>38</v>
      </c>
      <c r="H108" s="9">
        <v>123</v>
      </c>
      <c r="I108" s="9" t="s">
        <v>9</v>
      </c>
      <c r="J108" s="10">
        <v>3</v>
      </c>
      <c r="K108" s="5">
        <f>O130-O128</f>
        <v>0</v>
      </c>
      <c r="L108" s="6">
        <v>65</v>
      </c>
      <c r="Q108" s="20"/>
      <c r="R108" s="20"/>
      <c r="S108" s="20">
        <v>6</v>
      </c>
      <c r="T108" s="20">
        <v>6</v>
      </c>
      <c r="U108" s="20">
        <v>6</v>
      </c>
      <c r="V108" s="20">
        <v>6</v>
      </c>
      <c r="W108" s="20">
        <v>6</v>
      </c>
      <c r="X108" s="20">
        <v>6</v>
      </c>
      <c r="Y108" s="20">
        <v>6</v>
      </c>
      <c r="Z108" s="20">
        <v>6</v>
      </c>
      <c r="AA108" s="20">
        <v>6</v>
      </c>
      <c r="AB108" s="20">
        <v>6</v>
      </c>
      <c r="AC108" s="20">
        <v>6</v>
      </c>
      <c r="AD108" s="20">
        <v>6</v>
      </c>
      <c r="AE108" s="20">
        <v>6</v>
      </c>
      <c r="AF108" s="20">
        <v>6</v>
      </c>
      <c r="AG108" s="20">
        <v>6</v>
      </c>
      <c r="AH108" s="20">
        <v>6</v>
      </c>
      <c r="AI108" s="20">
        <v>6</v>
      </c>
      <c r="AJ108" s="20">
        <v>6</v>
      </c>
      <c r="AK108" s="20">
        <v>6</v>
      </c>
      <c r="AL108" s="20">
        <v>6</v>
      </c>
      <c r="AM108" s="20">
        <v>6</v>
      </c>
      <c r="AN108" s="20">
        <v>6</v>
      </c>
      <c r="AO108" s="20">
        <v>6</v>
      </c>
      <c r="AP108" s="20">
        <v>6</v>
      </c>
      <c r="AQ108" s="20">
        <v>6</v>
      </c>
      <c r="AR108" s="20">
        <v>6</v>
      </c>
      <c r="AS108" s="20">
        <v>6</v>
      </c>
      <c r="AT108" s="20">
        <v>6</v>
      </c>
      <c r="AU108" s="20">
        <v>6</v>
      </c>
      <c r="AV108" s="20">
        <v>6</v>
      </c>
      <c r="AW108" s="20">
        <v>6</v>
      </c>
      <c r="AX108" s="20">
        <v>6</v>
      </c>
      <c r="AY108" s="20">
        <v>6</v>
      </c>
      <c r="AZ108" s="20">
        <v>6</v>
      </c>
      <c r="BA108" s="20">
        <v>6</v>
      </c>
      <c r="BB108" s="20">
        <v>6</v>
      </c>
      <c r="BC108" s="20">
        <v>6</v>
      </c>
      <c r="BD108" s="20">
        <v>6</v>
      </c>
      <c r="BE108" s="20">
        <v>6</v>
      </c>
      <c r="BF108" s="20">
        <v>6</v>
      </c>
      <c r="BG108" s="20">
        <v>6</v>
      </c>
      <c r="BH108" s="20">
        <v>6</v>
      </c>
      <c r="BI108" s="20">
        <v>6</v>
      </c>
      <c r="BJ108" s="20">
        <v>6</v>
      </c>
      <c r="BK108" s="20">
        <v>6</v>
      </c>
      <c r="BL108" s="20">
        <v>6</v>
      </c>
      <c r="BM108" s="20">
        <v>6</v>
      </c>
      <c r="BN108" s="20">
        <v>6</v>
      </c>
      <c r="BO108" s="20">
        <v>6</v>
      </c>
      <c r="BP108" s="20">
        <v>6</v>
      </c>
      <c r="BQ108" s="20">
        <v>6</v>
      </c>
      <c r="BR108" s="20">
        <v>6</v>
      </c>
      <c r="BS108" s="20">
        <v>6</v>
      </c>
      <c r="BT108" s="20">
        <v>6</v>
      </c>
      <c r="BU108" s="20">
        <v>6</v>
      </c>
      <c r="BV108" s="20">
        <v>6</v>
      </c>
      <c r="BW108" s="20">
        <v>6</v>
      </c>
      <c r="BX108" s="20">
        <v>6</v>
      </c>
      <c r="BY108" s="20">
        <v>6</v>
      </c>
      <c r="BZ108" s="20">
        <v>6</v>
      </c>
      <c r="CA108" s="20">
        <v>6</v>
      </c>
      <c r="CB108" s="20">
        <v>6</v>
      </c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</row>
    <row r="109" spans="5:125">
      <c r="E109" s="8" t="s">
        <v>39</v>
      </c>
      <c r="F109" s="9" t="s">
        <v>40</v>
      </c>
      <c r="G109" s="9" t="s">
        <v>41</v>
      </c>
      <c r="H109" s="9">
        <v>46</v>
      </c>
      <c r="I109" s="9" t="s">
        <v>29</v>
      </c>
      <c r="J109" s="10">
        <v>3</v>
      </c>
      <c r="K109" s="5">
        <f>AF133-AF131</f>
        <v>0</v>
      </c>
      <c r="L109" s="6">
        <v>0</v>
      </c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>
        <v>6</v>
      </c>
      <c r="CG109" s="20">
        <v>6</v>
      </c>
      <c r="CH109" s="20">
        <v>6</v>
      </c>
      <c r="CI109" s="20">
        <v>6</v>
      </c>
      <c r="CJ109" s="20">
        <v>6</v>
      </c>
      <c r="CK109" s="20">
        <v>6</v>
      </c>
      <c r="CL109" s="20">
        <v>6</v>
      </c>
      <c r="CM109" s="20">
        <v>6</v>
      </c>
      <c r="CN109" s="20">
        <v>6</v>
      </c>
      <c r="CO109" s="20">
        <v>6</v>
      </c>
      <c r="CP109" s="20">
        <v>6</v>
      </c>
      <c r="CQ109" s="20">
        <v>6</v>
      </c>
      <c r="CR109" s="20">
        <v>6</v>
      </c>
      <c r="CS109" s="20">
        <v>6</v>
      </c>
      <c r="CT109" s="20">
        <v>6</v>
      </c>
      <c r="CU109" s="20">
        <v>6</v>
      </c>
      <c r="CV109" s="20">
        <v>6</v>
      </c>
      <c r="CW109" s="20">
        <v>6</v>
      </c>
      <c r="CX109" s="20">
        <v>6</v>
      </c>
      <c r="CY109" s="20">
        <v>6</v>
      </c>
      <c r="CZ109" s="20">
        <v>6</v>
      </c>
      <c r="DA109" s="20">
        <v>6</v>
      </c>
      <c r="DB109" s="20">
        <v>6</v>
      </c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</row>
    <row r="110" spans="5:125">
      <c r="E110" s="8" t="s">
        <v>42</v>
      </c>
      <c r="F110" s="9" t="s">
        <v>43</v>
      </c>
      <c r="G110" s="9" t="s">
        <v>44</v>
      </c>
      <c r="H110" s="9">
        <v>15</v>
      </c>
      <c r="I110" s="9" t="s">
        <v>45</v>
      </c>
      <c r="J110" s="10">
        <v>2</v>
      </c>
      <c r="K110" s="5">
        <f>AJ130-AJ128</f>
        <v>0</v>
      </c>
      <c r="L110" s="6">
        <v>0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>
        <v>5</v>
      </c>
      <c r="DD110" s="20">
        <v>5</v>
      </c>
      <c r="DE110" s="20">
        <v>5</v>
      </c>
      <c r="DF110" s="20">
        <v>5</v>
      </c>
      <c r="DG110" s="20">
        <v>5</v>
      </c>
      <c r="DH110" s="20">
        <v>5</v>
      </c>
      <c r="DI110" s="20"/>
      <c r="DJ110" s="20"/>
      <c r="DK110" s="20"/>
      <c r="DL110" s="20"/>
      <c r="DM110" s="20"/>
      <c r="DN110" s="20"/>
      <c r="DO110" s="20"/>
      <c r="DP110" s="20"/>
      <c r="DQ110" s="20"/>
    </row>
    <row r="111" spans="5:125">
      <c r="E111" s="9" t="s">
        <v>46</v>
      </c>
      <c r="F111" s="9" t="s">
        <v>47</v>
      </c>
      <c r="G111" s="9" t="s">
        <v>48</v>
      </c>
      <c r="H111" s="9">
        <v>32</v>
      </c>
      <c r="I111" s="9" t="s">
        <v>39</v>
      </c>
      <c r="J111" s="10">
        <v>3</v>
      </c>
      <c r="K111" s="5">
        <f>AJ136-AJ134</f>
        <v>0</v>
      </c>
      <c r="L111" s="6">
        <v>0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>
        <v>8</v>
      </c>
      <c r="DD111" s="20">
        <v>8</v>
      </c>
      <c r="DE111" s="20">
        <v>8</v>
      </c>
      <c r="DF111" s="20">
        <v>8</v>
      </c>
      <c r="DG111" s="20">
        <v>8</v>
      </c>
      <c r="DH111" s="20">
        <v>8</v>
      </c>
      <c r="DI111" s="20">
        <v>8</v>
      </c>
      <c r="DJ111" s="20">
        <v>8</v>
      </c>
      <c r="DK111" s="20">
        <v>8</v>
      </c>
      <c r="DL111" s="20">
        <v>8</v>
      </c>
      <c r="DM111" s="20">
        <v>8</v>
      </c>
      <c r="DN111" s="20">
        <v>8</v>
      </c>
      <c r="DO111" s="20"/>
      <c r="DP111" s="20"/>
      <c r="DQ111" s="20"/>
    </row>
    <row r="112" spans="5:125">
      <c r="E112" s="8" t="s">
        <v>49</v>
      </c>
      <c r="F112" s="9" t="s">
        <v>50</v>
      </c>
      <c r="G112" s="9" t="s">
        <v>51</v>
      </c>
      <c r="H112" s="9">
        <v>15</v>
      </c>
      <c r="I112" s="9" t="s">
        <v>52</v>
      </c>
      <c r="J112" s="10">
        <v>2</v>
      </c>
      <c r="K112" s="5">
        <f>AO132-AO130</f>
        <v>0</v>
      </c>
      <c r="L112" s="6">
        <v>0</v>
      </c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>
        <v>5</v>
      </c>
      <c r="DJ112" s="20">
        <v>5</v>
      </c>
      <c r="DK112" s="20">
        <v>5</v>
      </c>
      <c r="DL112" s="20">
        <v>5</v>
      </c>
      <c r="DM112" s="20">
        <v>5</v>
      </c>
      <c r="DN112" s="20">
        <v>5</v>
      </c>
      <c r="DO112" s="20"/>
      <c r="DP112" s="20"/>
      <c r="DQ112" s="20"/>
    </row>
    <row r="113" spans="5:121">
      <c r="E113" s="8" t="s">
        <v>53</v>
      </c>
      <c r="F113" s="9" t="s">
        <v>54</v>
      </c>
      <c r="G113" s="9" t="s">
        <v>55</v>
      </c>
      <c r="H113" s="9">
        <v>6</v>
      </c>
      <c r="I113" s="9" t="s">
        <v>49</v>
      </c>
      <c r="J113" s="10">
        <v>4</v>
      </c>
      <c r="K113" s="5">
        <f>AS132-AS130</f>
        <v>0</v>
      </c>
      <c r="L113" s="6">
        <v>0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>
        <v>9</v>
      </c>
      <c r="DP113" s="20">
        <v>9</v>
      </c>
      <c r="DQ113" s="20">
        <v>9</v>
      </c>
    </row>
    <row r="114" spans="5:121"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</row>
    <row r="115" spans="5:121">
      <c r="P115" s="2" t="s">
        <v>294</v>
      </c>
      <c r="Q115" s="20">
        <v>13</v>
      </c>
      <c r="R115" s="20">
        <v>13</v>
      </c>
      <c r="S115" s="20">
        <v>15</v>
      </c>
      <c r="T115" s="20">
        <v>15</v>
      </c>
      <c r="U115" s="20">
        <v>15</v>
      </c>
      <c r="V115" s="20">
        <v>15</v>
      </c>
      <c r="W115" s="20">
        <v>15</v>
      </c>
      <c r="X115" s="20">
        <v>15</v>
      </c>
      <c r="Y115" s="20">
        <v>15</v>
      </c>
      <c r="Z115" s="20">
        <v>15</v>
      </c>
      <c r="AA115" s="20">
        <v>15</v>
      </c>
      <c r="AB115" s="20">
        <v>15</v>
      </c>
      <c r="AC115" s="20">
        <v>15</v>
      </c>
      <c r="AD115" s="20">
        <v>15</v>
      </c>
      <c r="AE115" s="20">
        <v>15</v>
      </c>
      <c r="AF115" s="20">
        <v>15</v>
      </c>
      <c r="AG115" s="20">
        <v>15</v>
      </c>
      <c r="AH115" s="20">
        <v>15</v>
      </c>
      <c r="AI115" s="20">
        <v>15</v>
      </c>
      <c r="AJ115" s="20">
        <v>15</v>
      </c>
      <c r="AK115" s="20">
        <v>15</v>
      </c>
      <c r="AL115" s="20">
        <v>15</v>
      </c>
      <c r="AM115" s="20">
        <v>15</v>
      </c>
      <c r="AN115" s="20">
        <v>15</v>
      </c>
      <c r="AO115" s="20">
        <v>15</v>
      </c>
      <c r="AP115" s="20">
        <v>15</v>
      </c>
      <c r="AQ115" s="20">
        <v>15</v>
      </c>
      <c r="AR115" s="20">
        <v>15</v>
      </c>
      <c r="AS115" s="20">
        <v>15</v>
      </c>
      <c r="AT115" s="20">
        <v>15</v>
      </c>
      <c r="AU115" s="20">
        <v>15</v>
      </c>
      <c r="AV115" s="20">
        <v>15</v>
      </c>
      <c r="AW115" s="20">
        <v>15</v>
      </c>
      <c r="AX115" s="20">
        <v>15</v>
      </c>
      <c r="AY115" s="20">
        <v>15</v>
      </c>
      <c r="AZ115" s="20">
        <v>15</v>
      </c>
      <c r="BA115" s="20">
        <v>15</v>
      </c>
      <c r="BB115" s="20">
        <v>15</v>
      </c>
      <c r="BC115" s="20">
        <v>15</v>
      </c>
      <c r="BD115" s="20">
        <v>15</v>
      </c>
      <c r="BE115" s="20">
        <v>15</v>
      </c>
      <c r="BF115" s="20">
        <v>15</v>
      </c>
      <c r="BG115" s="20">
        <v>15</v>
      </c>
      <c r="BH115" s="20">
        <v>15</v>
      </c>
      <c r="BI115" s="20">
        <v>15</v>
      </c>
      <c r="BJ115" s="20">
        <v>15</v>
      </c>
      <c r="BK115" s="20">
        <v>15</v>
      </c>
      <c r="BL115" s="20">
        <v>15</v>
      </c>
      <c r="BM115" s="20">
        <v>15</v>
      </c>
      <c r="BN115" s="20">
        <v>15</v>
      </c>
      <c r="BO115" s="20">
        <v>15</v>
      </c>
      <c r="BP115" s="20">
        <v>15</v>
      </c>
      <c r="BQ115" s="20">
        <v>15</v>
      </c>
      <c r="BR115" s="20">
        <v>15</v>
      </c>
      <c r="BS115" s="20">
        <v>15</v>
      </c>
      <c r="BT115" s="20">
        <v>15</v>
      </c>
      <c r="BU115" s="20">
        <v>15</v>
      </c>
      <c r="BV115" s="20">
        <v>15</v>
      </c>
      <c r="BW115" s="20">
        <v>15</v>
      </c>
      <c r="BX115" s="20">
        <v>15</v>
      </c>
      <c r="BY115" s="20">
        <v>15</v>
      </c>
      <c r="BZ115" s="20">
        <v>15</v>
      </c>
      <c r="CA115" s="20">
        <v>15</v>
      </c>
      <c r="CB115" s="20">
        <v>15</v>
      </c>
      <c r="CC115" s="20">
        <v>9</v>
      </c>
      <c r="CD115" s="20">
        <v>7</v>
      </c>
      <c r="CE115" s="20">
        <v>7</v>
      </c>
      <c r="CF115" s="20">
        <v>15</v>
      </c>
      <c r="CG115" s="20">
        <v>15</v>
      </c>
      <c r="CH115" s="20">
        <v>15</v>
      </c>
      <c r="CI115" s="20">
        <v>15</v>
      </c>
      <c r="CJ115" s="20">
        <v>15</v>
      </c>
      <c r="CK115" s="20">
        <v>15</v>
      </c>
      <c r="CL115" s="20">
        <v>15</v>
      </c>
      <c r="CM115" s="20">
        <v>15</v>
      </c>
      <c r="CN115" s="20">
        <v>15</v>
      </c>
      <c r="CO115" s="20">
        <v>15</v>
      </c>
      <c r="CP115" s="20">
        <v>15</v>
      </c>
      <c r="CQ115" s="20">
        <v>15</v>
      </c>
      <c r="CR115" s="20">
        <v>15</v>
      </c>
      <c r="CS115" s="20">
        <v>15</v>
      </c>
      <c r="CT115" s="20">
        <v>6</v>
      </c>
      <c r="CU115" s="20">
        <v>6</v>
      </c>
      <c r="CV115" s="20">
        <v>6</v>
      </c>
      <c r="CW115" s="20">
        <v>6</v>
      </c>
      <c r="CX115" s="20">
        <v>6</v>
      </c>
      <c r="CY115" s="20">
        <v>6</v>
      </c>
      <c r="CZ115" s="20">
        <v>6</v>
      </c>
      <c r="DA115" s="20">
        <v>6</v>
      </c>
      <c r="DB115" s="20">
        <v>6</v>
      </c>
      <c r="DC115" s="20">
        <v>13</v>
      </c>
      <c r="DD115" s="20">
        <v>13</v>
      </c>
      <c r="DE115" s="20">
        <v>13</v>
      </c>
      <c r="DF115" s="20">
        <v>13</v>
      </c>
      <c r="DG115" s="20">
        <v>13</v>
      </c>
      <c r="DH115" s="20">
        <v>13</v>
      </c>
      <c r="DI115" s="20">
        <v>13</v>
      </c>
      <c r="DJ115" s="20">
        <v>13</v>
      </c>
      <c r="DK115" s="20">
        <v>13</v>
      </c>
      <c r="DL115" s="20">
        <v>13</v>
      </c>
      <c r="DM115" s="20">
        <v>13</v>
      </c>
      <c r="DN115" s="20">
        <v>13</v>
      </c>
      <c r="DO115" s="20">
        <v>9</v>
      </c>
      <c r="DP115" s="20">
        <v>9</v>
      </c>
      <c r="DQ115" s="20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2026-05-13T13:38:08Z</dcterms:created>
  <dcterms:modified xsi:type="dcterms:W3CDTF">2026-05-13T17:39:53Z</dcterms:modified>
  <cp:category/>
  <cp:contentStatus/>
</cp:coreProperties>
</file>